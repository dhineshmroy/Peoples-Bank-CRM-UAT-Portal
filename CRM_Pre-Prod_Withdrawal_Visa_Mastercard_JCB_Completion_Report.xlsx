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eople's Bank\UAT\Final UAT for 10th of August 2026\QA Reports\September\Stagin\24_09_2026\"/>
    </mc:Choice>
  </mc:AlternateContent>
  <bookViews>
    <workbookView xWindow="-120" yWindow="-120" windowWidth="20730" windowHeight="11040" activeTab="2"/>
  </bookViews>
  <sheets>
    <sheet name="Withdrawal - Card Matrix" sheetId="1" r:id="rId1"/>
    <sheet name="Withdrawal Summary" sheetId="2" r:id="rId2"/>
    <sheet name="Execution Report" sheetId="3" r:id="rId3"/>
    <sheet name="Summary" sheetId="4" r:id="rId4"/>
  </sheets>
  <definedNames>
    <definedName name="_xlnm._FilterDatabase" localSheetId="2" hidden="1">'Execution Report'!$A$7:$R$42</definedName>
    <definedName name="_xlnm._FilterDatabase" localSheetId="0" hidden="1">'Withdrawal - Card Matrix'!$A$8:$Q$57</definedName>
  </definedNames>
  <calcPr calcId="162913"/>
</workbook>
</file>

<file path=xl/calcChain.xml><?xml version="1.0" encoding="utf-8"?>
<calcChain xmlns="http://schemas.openxmlformats.org/spreadsheetml/2006/main">
  <c r="N9" i="1" l="1"/>
  <c r="N10" i="1"/>
  <c r="N12" i="1"/>
  <c r="N13" i="1"/>
  <c r="N14" i="1"/>
  <c r="N19" i="1"/>
  <c r="N20" i="1"/>
  <c r="N21" i="1"/>
  <c r="N15" i="1" l="1"/>
  <c r="N16" i="1"/>
  <c r="N22" i="1"/>
  <c r="N23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B25" i="4"/>
  <c r="B24" i="4"/>
  <c r="B23" i="4"/>
  <c r="B22" i="4"/>
  <c r="B21" i="4"/>
  <c r="B20" i="4"/>
  <c r="B19" i="4"/>
  <c r="B18" i="4"/>
  <c r="B6" i="4"/>
  <c r="B5" i="4"/>
  <c r="B4" i="4"/>
  <c r="B3" i="4"/>
  <c r="O42" i="3"/>
  <c r="O41" i="3"/>
  <c r="O40" i="3"/>
  <c r="O39" i="3"/>
  <c r="O38" i="3"/>
  <c r="O37" i="3"/>
  <c r="O36" i="3"/>
  <c r="O35" i="3"/>
  <c r="O34" i="3"/>
  <c r="O33" i="3"/>
  <c r="O32" i="3"/>
  <c r="O31" i="3"/>
  <c r="O24" i="3"/>
  <c r="O23" i="3"/>
  <c r="O22" i="3"/>
  <c r="O21" i="3"/>
  <c r="O20" i="3"/>
  <c r="O19" i="3"/>
  <c r="O18" i="3"/>
  <c r="F23" i="4" s="1"/>
  <c r="O16" i="3"/>
  <c r="O15" i="3"/>
  <c r="O14" i="3"/>
  <c r="O13" i="3"/>
  <c r="O12" i="3"/>
  <c r="O11" i="3"/>
  <c r="O10" i="3"/>
  <c r="O8" i="3"/>
  <c r="B6" i="2"/>
  <c r="B5" i="2"/>
  <c r="B4" i="2"/>
  <c r="E22" i="4" l="1"/>
  <c r="E20" i="4"/>
  <c r="D19" i="4"/>
  <c r="D24" i="4"/>
  <c r="E18" i="4"/>
  <c r="F21" i="4"/>
  <c r="F20" i="4"/>
  <c r="C19" i="4"/>
  <c r="C24" i="4"/>
  <c r="B13" i="4"/>
  <c r="B11" i="4"/>
  <c r="F25" i="4"/>
  <c r="C20" i="4"/>
  <c r="E25" i="4"/>
  <c r="C4" i="2"/>
  <c r="F4" i="2"/>
  <c r="F6" i="2"/>
  <c r="B9" i="2"/>
  <c r="F5" i="2"/>
  <c r="E19" i="4"/>
  <c r="C21" i="4"/>
  <c r="F22" i="4"/>
  <c r="E4" i="2"/>
  <c r="C6" i="2"/>
  <c r="B7" i="4"/>
  <c r="C18" i="4"/>
  <c r="F19" i="4"/>
  <c r="D21" i="4"/>
  <c r="E24" i="4"/>
  <c r="D4" i="2"/>
  <c r="D6" i="2"/>
  <c r="B8" i="4"/>
  <c r="D18" i="4"/>
  <c r="E21" i="4"/>
  <c r="C23" i="4"/>
  <c r="F24" i="4"/>
  <c r="D23" i="4"/>
  <c r="E6" i="2"/>
  <c r="B9" i="4"/>
  <c r="C5" i="2"/>
  <c r="B10" i="4"/>
  <c r="F18" i="4"/>
  <c r="D20" i="4"/>
  <c r="E23" i="4"/>
  <c r="C25" i="4"/>
  <c r="D5" i="2"/>
  <c r="B8" i="2"/>
  <c r="C22" i="4"/>
  <c r="D25" i="4"/>
  <c r="E5" i="2"/>
  <c r="D22" i="4"/>
  <c r="B12" i="4" l="1"/>
</calcChain>
</file>

<file path=xl/sharedStrings.xml><?xml version="1.0" encoding="utf-8"?>
<sst xmlns="http://schemas.openxmlformats.org/spreadsheetml/2006/main" count="384" uniqueCount="198">
  <si>
    <t>CRM PRE-PROD – WITHDRAWAL COMPLETION REPORT | VISA / MASTERCARD / JCB</t>
  </si>
  <si>
    <t>Environment</t>
  </si>
  <si>
    <t>Hitachi CRM – Pre-Prod</t>
  </si>
  <si>
    <t>Transaction Type</t>
  </si>
  <si>
    <t>Cash Withdrawal</t>
  </si>
  <si>
    <t>Execution Date</t>
  </si>
  <si>
    <t>Tester</t>
  </si>
  <si>
    <t>Scope</t>
  </si>
  <si>
    <t>Visa, Mastercard and JCB card-based withdrawal transactions</t>
  </si>
  <si>
    <t>TC ID</t>
  </si>
  <si>
    <t>Card Scheme</t>
  </si>
  <si>
    <t>Card Type</t>
  </si>
  <si>
    <t>Issuing Bank</t>
  </si>
  <si>
    <t>Account Type</t>
  </si>
  <si>
    <t>Withdrawal Amount</t>
  </si>
  <si>
    <t>ATM / CRM ID</t>
  </si>
  <si>
    <t>Account / Reference No.</t>
  </si>
  <si>
    <t>RRN</t>
  </si>
  <si>
    <t>STAN / UTANO</t>
  </si>
  <si>
    <t>Before Balance</t>
  </si>
  <si>
    <t>After Balance</t>
  </si>
  <si>
    <t>FE Status</t>
  </si>
  <si>
    <t>Switch Status</t>
  </si>
  <si>
    <t>SIBS / CBS Status</t>
  </si>
  <si>
    <t>Receipt / Output</t>
  </si>
  <si>
    <t>Overall Status</t>
  </si>
  <si>
    <t>Remarks</t>
  </si>
  <si>
    <t>WD-001</t>
  </si>
  <si>
    <t>Visa</t>
  </si>
  <si>
    <t>Debit</t>
  </si>
  <si>
    <t>People's Bank</t>
  </si>
  <si>
    <t>WD-002</t>
  </si>
  <si>
    <t>SA</t>
  </si>
  <si>
    <t>Credit</t>
  </si>
  <si>
    <t>Credit Card</t>
  </si>
  <si>
    <t>Other Bank</t>
  </si>
  <si>
    <t>Other Bank Account</t>
  </si>
  <si>
    <t>WD-005</t>
  </si>
  <si>
    <t>Other Bank Credit</t>
  </si>
  <si>
    <t>WD-006</t>
  </si>
  <si>
    <t>Mastercard</t>
  </si>
  <si>
    <t>WD-007</t>
  </si>
  <si>
    <t>WD-008</t>
  </si>
  <si>
    <t>WD-009</t>
  </si>
  <si>
    <t>WD-010</t>
  </si>
  <si>
    <t>WD-011</t>
  </si>
  <si>
    <t>JCB</t>
  </si>
  <si>
    <t>WD-012</t>
  </si>
  <si>
    <t>WD-013</t>
  </si>
  <si>
    <t>WD-014</t>
  </si>
  <si>
    <t>WD-015</t>
  </si>
  <si>
    <t>WITHDRAWAL – VISA / MASTERCARD / JCB SUMMARY</t>
  </si>
  <si>
    <t>Total</t>
  </si>
  <si>
    <t>Passed</t>
  </si>
  <si>
    <t>Failed</t>
  </si>
  <si>
    <t>Blocked</t>
  </si>
  <si>
    <t>Not Executed</t>
  </si>
  <si>
    <t>Overall Withdrawal Completion</t>
  </si>
  <si>
    <t>Overall Pass Rate</t>
  </si>
  <si>
    <t>CRM PRE-PROD – ALL TRANSACTIONS COMPLETION REPORT</t>
  </si>
  <si>
    <t>UAT Scope</t>
  </si>
  <si>
    <t>All applicable card-based and cardless CRM transactions</t>
  </si>
  <si>
    <t>Transaction Category</t>
  </si>
  <si>
    <t>Transaction / Test Description</t>
  </si>
  <si>
    <t>Amount</t>
  </si>
  <si>
    <t>Withdrawal</t>
  </si>
  <si>
    <t>People’s Bank</t>
  </si>
  <si>
    <t>DEP_004</t>
  </si>
  <si>
    <t>Deposit</t>
  </si>
  <si>
    <t>DEP_005</t>
  </si>
  <si>
    <t>Cash Deposit – Cardless</t>
  </si>
  <si>
    <t>Cardless</t>
  </si>
  <si>
    <t>FT_006</t>
  </si>
  <si>
    <t>Fund Transfer</t>
  </si>
  <si>
    <t>FT_007</t>
  </si>
  <si>
    <t>Fund Transfer – CHE to SA</t>
  </si>
  <si>
    <t>BI_008</t>
  </si>
  <si>
    <t>Balance Inquiry</t>
  </si>
  <si>
    <t>Balance Inquiry – People’s Bank Card</t>
  </si>
  <si>
    <t>BI_009</t>
  </si>
  <si>
    <t>Balance Inquiry – Other Bank Card</t>
  </si>
  <si>
    <t>MS_010</t>
  </si>
  <si>
    <t>Mini Statement</t>
  </si>
  <si>
    <t>MS_011</t>
  </si>
  <si>
    <t>PIN_012</t>
  </si>
  <si>
    <t>PIN Change</t>
  </si>
  <si>
    <t>BP_013</t>
  </si>
  <si>
    <t>Bill Payment</t>
  </si>
  <si>
    <t>Bill Payment – Dialog</t>
  </si>
  <si>
    <t>BP_014</t>
  </si>
  <si>
    <t>Bill Payment – Water Board</t>
  </si>
  <si>
    <t>BP_015</t>
  </si>
  <si>
    <t>Bill Payment – CEB</t>
  </si>
  <si>
    <t>BP_016</t>
  </si>
  <si>
    <t>Bill Payment – LECO</t>
  </si>
  <si>
    <t>BP_017</t>
  </si>
  <si>
    <t>Bill Payment – SLT</t>
  </si>
  <si>
    <t>BP_018</t>
  </si>
  <si>
    <t>Bill Payment – Mobitel</t>
  </si>
  <si>
    <t>CARDLESS_019</t>
  </si>
  <si>
    <t>Cardless Transaction</t>
  </si>
  <si>
    <t>Cardless Deposit</t>
  </si>
  <si>
    <t>CARDLESS_020</t>
  </si>
  <si>
    <t>CARDLESS_021</t>
  </si>
  <si>
    <t>CARDLESS_022</t>
  </si>
  <si>
    <t>CRM PRE-PROD – UAT EXECUTION SUMMARY</t>
  </si>
  <si>
    <t>Total Test Cases</t>
  </si>
  <si>
    <t>Pending</t>
  </si>
  <si>
    <t>Completion %</t>
  </si>
  <si>
    <t>Pass Rate %</t>
  </si>
  <si>
    <t>Transaction Category Summary</t>
  </si>
  <si>
    <t>Category</t>
  </si>
  <si>
    <t>Cardless Bill Payment – Dialog</t>
  </si>
  <si>
    <t>Cardless Bill Payment – Water Board</t>
  </si>
  <si>
    <t>Cardless Bill Payment – CEB</t>
  </si>
  <si>
    <t>Cardless Bill Payment – LECO</t>
  </si>
  <si>
    <t>Cardless Bill Payment – SLT</t>
  </si>
  <si>
    <t>Cardless Bill Payment – Mobitel</t>
  </si>
  <si>
    <t>CARDLESS_023</t>
  </si>
  <si>
    <t>CARDLESS_024</t>
  </si>
  <si>
    <t>CARDLESS_025</t>
  </si>
  <si>
    <t>CARDLESS_026</t>
  </si>
  <si>
    <t>Cardless Bill Payment – Dialog_TV</t>
  </si>
  <si>
    <t>Bill Payment – Dialog_TV</t>
  </si>
  <si>
    <t>BP_019</t>
  </si>
  <si>
    <t>Team Channel</t>
  </si>
  <si>
    <t>S204RB01</t>
  </si>
  <si>
    <t>204200170008281</t>
  </si>
  <si>
    <t>USD</t>
  </si>
  <si>
    <t>BGP</t>
  </si>
  <si>
    <t>204409180244035</t>
  </si>
  <si>
    <t>1200</t>
  </si>
  <si>
    <t>204100100082058</t>
  </si>
  <si>
    <t>1100</t>
  </si>
  <si>
    <t>700</t>
  </si>
  <si>
    <t>500</t>
  </si>
  <si>
    <t>320000</t>
  </si>
  <si>
    <t>260922002657445450</t>
  </si>
  <si>
    <t>Bill Payment - SLIC - Life</t>
  </si>
  <si>
    <t>Cash Deposit - People's Bank Account(SA)</t>
  </si>
  <si>
    <t>1600</t>
  </si>
  <si>
    <t>204402100243947</t>
  </si>
  <si>
    <t>Bill Payment - PIC</t>
  </si>
  <si>
    <t>Bill Payment - PLC</t>
  </si>
  <si>
    <t>400</t>
  </si>
  <si>
    <t>260922002657454240</t>
  </si>
  <si>
    <t>260922002657454410</t>
  </si>
  <si>
    <t>600</t>
  </si>
  <si>
    <t>260922002657453770</t>
  </si>
  <si>
    <t>900</t>
  </si>
  <si>
    <t>260922002657454600</t>
  </si>
  <si>
    <t>7</t>
  </si>
  <si>
    <t>260922002657454920</t>
  </si>
  <si>
    <t>80</t>
  </si>
  <si>
    <t>260922002657455150</t>
  </si>
  <si>
    <t>260922002657455330</t>
  </si>
  <si>
    <t>800</t>
  </si>
  <si>
    <t>260922002657455480</t>
  </si>
  <si>
    <t>Bill Payment - SLIC - General</t>
  </si>
  <si>
    <t>260922002657457780</t>
  </si>
  <si>
    <t>450</t>
  </si>
  <si>
    <r>
      <t>The “</t>
    </r>
    <r>
      <rPr>
        <b/>
        <sz val="11"/>
        <color theme="1"/>
        <rFont val="Calibri"/>
        <family val="2"/>
        <scheme val="minor"/>
      </rPr>
      <t>Account Type</t>
    </r>
    <r>
      <rPr>
        <sz val="11"/>
        <color theme="1"/>
        <rFont val="Calibri"/>
        <family val="2"/>
        <scheme val="minor"/>
      </rPr>
      <t>” field is not printed on the receipt for CHE to SA transactions.</t>
    </r>
  </si>
  <si>
    <t>FAIL</t>
  </si>
  <si>
    <t>260922002657457930</t>
  </si>
  <si>
    <t>Mini Statement – People’s Bank Card(SA)</t>
  </si>
  <si>
    <t>5</t>
  </si>
  <si>
    <t>260922002657462860</t>
  </si>
  <si>
    <t>This Bill Payment types not working on Pre - Prod Stage</t>
  </si>
  <si>
    <t>NOT EXECUTED</t>
  </si>
  <si>
    <t>Cardless Bill Payment - SLIC - Life</t>
  </si>
  <si>
    <t>Cardless Bill Payment - SLIC - General</t>
  </si>
  <si>
    <t>Cardless Billl Payment - PIC</t>
  </si>
  <si>
    <t>Cardless Bill Payment - PLC</t>
  </si>
  <si>
    <t>5000</t>
  </si>
  <si>
    <t>260922002657463740</t>
  </si>
  <si>
    <t>6600</t>
  </si>
  <si>
    <t>260922002657463420</t>
  </si>
  <si>
    <t>260922002657462570</t>
  </si>
  <si>
    <t>5500</t>
  </si>
  <si>
    <t>260922002657462740</t>
  </si>
  <si>
    <t>260922002657464220</t>
  </si>
  <si>
    <t>2000</t>
  </si>
  <si>
    <t>260922002657464060</t>
  </si>
  <si>
    <t>260922002657463900</t>
  </si>
  <si>
    <t>1300</t>
  </si>
  <si>
    <t>260922002657463240</t>
  </si>
  <si>
    <t>204402110028080</t>
  </si>
  <si>
    <t>GBP</t>
  </si>
  <si>
    <t>204409180444035</t>
  </si>
  <si>
    <t>260924002657684150</t>
  </si>
  <si>
    <t>260924002657683950</t>
  </si>
  <si>
    <t>24/09/2026</t>
  </si>
  <si>
    <t>Mini Statement – People’s Bank Card(GBP)</t>
  </si>
  <si>
    <t>260924002657690770</t>
  </si>
  <si>
    <t>CHK</t>
  </si>
  <si>
    <t>Mini Statement – People’s Bank Card(CHK)</t>
  </si>
  <si>
    <t>Fund Transfer – SA to CHK</t>
  </si>
  <si>
    <t>Cash Deposit – People’s Bank Account(CHK)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</si>
</sst>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404040"/>
      <name val="Calibri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4" fillId="3" borderId="1" xfId="0" applyFont="1" applyFill="1" applyBorder="1"/>
    <xf numFmtId="164" fontId="0" fillId="0" borderId="1" xfId="0" applyNumberFormat="1" applyBorder="1"/>
    <xf numFmtId="0" fontId="3" fillId="4" borderId="1" xfId="0" applyFont="1" applyFill="1" applyBorder="1"/>
    <xf numFmtId="0" fontId="0" fillId="0" borderId="0" xfId="0"/>
    <xf numFmtId="0" fontId="0" fillId="0" borderId="1" xfId="0" quotePrefix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5" borderId="0" xfId="0" applyFill="1"/>
    <xf numFmtId="0" fontId="0" fillId="0" borderId="1" xfId="0" applyFill="1" applyBorder="1" applyAlignment="1">
      <alignment vertical="top" wrapText="1"/>
    </xf>
    <xf numFmtId="0" fontId="0" fillId="0" borderId="0" xfId="0" applyFill="1"/>
    <xf numFmtId="0" fontId="0" fillId="6" borderId="1" xfId="0" applyFill="1" applyBorder="1" applyAlignment="1">
      <alignment vertical="top" wrapText="1"/>
    </xf>
    <xf numFmtId="0" fontId="0" fillId="6" borderId="1" xfId="0" quotePrefix="1" applyFill="1" applyBorder="1" applyAlignment="1">
      <alignment vertical="top" wrapText="1"/>
    </xf>
    <xf numFmtId="0" fontId="7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3" fillId="2" borderId="0" xfId="0" applyFont="1" applyFill="1"/>
  </cellXfs>
  <cellStyles count="1">
    <cellStyle name="Normal" xfId="0" builtinId="0"/>
  </cellStyles>
  <dxfs count="6"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7"/>
  <sheetViews>
    <sheetView topLeftCell="B1" workbookViewId="0">
      <pane ySplit="8" topLeftCell="A18" activePane="bottomLeft" state="frozen"/>
      <selection pane="bottomLeft" activeCell="E9" sqref="E9"/>
    </sheetView>
  </sheetViews>
  <sheetFormatPr defaultRowHeight="15" x14ac:dyDescent="0.25"/>
  <cols>
    <col min="1" max="1" width="16" bestFit="1" customWidth="1"/>
    <col min="2" max="2" width="15" customWidth="1"/>
    <col min="3" max="3" width="13" customWidth="1"/>
    <col min="4" max="4" width="18" customWidth="1"/>
    <col min="5" max="5" width="20" customWidth="1"/>
    <col min="6" max="6" width="17" customWidth="1"/>
    <col min="7" max="7" width="15" customWidth="1"/>
    <col min="8" max="8" width="23" customWidth="1"/>
    <col min="9" max="9" width="18" customWidth="1"/>
    <col min="10" max="10" width="18.7109375" bestFit="1" customWidth="1"/>
    <col min="11" max="11" width="15" customWidth="1"/>
    <col min="12" max="12" width="18" customWidth="1"/>
    <col min="13" max="13" width="20" customWidth="1"/>
    <col min="14" max="14" width="17" customWidth="1"/>
    <col min="15" max="16" width="16" customWidth="1"/>
    <col min="17" max="17" width="35" customWidth="1"/>
  </cols>
  <sheetData>
    <row r="1" spans="1:17" ht="30" customHeight="1" x14ac:dyDescent="0.2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x14ac:dyDescent="0.25">
      <c r="A2" s="5" t="s">
        <v>1</v>
      </c>
      <c r="B2" s="19" t="s">
        <v>2</v>
      </c>
      <c r="C2" s="20"/>
      <c r="D2" s="20"/>
      <c r="E2" s="20"/>
      <c r="F2" s="21"/>
    </row>
    <row r="3" spans="1:17" x14ac:dyDescent="0.25">
      <c r="A3" s="5" t="s">
        <v>3</v>
      </c>
      <c r="B3" s="19" t="s">
        <v>4</v>
      </c>
      <c r="C3" s="20"/>
      <c r="D3" s="20"/>
      <c r="E3" s="20"/>
      <c r="F3" s="21"/>
    </row>
    <row r="4" spans="1:17" x14ac:dyDescent="0.25">
      <c r="A4" s="5" t="s">
        <v>5</v>
      </c>
      <c r="B4" s="19" t="s">
        <v>191</v>
      </c>
      <c r="C4" s="20"/>
      <c r="D4" s="20"/>
      <c r="E4" s="20"/>
      <c r="F4" s="21"/>
    </row>
    <row r="5" spans="1:17" x14ac:dyDescent="0.25">
      <c r="A5" s="5" t="s">
        <v>6</v>
      </c>
      <c r="B5" s="19" t="s">
        <v>125</v>
      </c>
      <c r="C5" s="20"/>
      <c r="D5" s="20"/>
      <c r="E5" s="20"/>
      <c r="F5" s="21"/>
    </row>
    <row r="6" spans="1:17" x14ac:dyDescent="0.25">
      <c r="A6" s="5" t="s">
        <v>7</v>
      </c>
      <c r="B6" s="19" t="s">
        <v>8</v>
      </c>
      <c r="C6" s="20"/>
      <c r="D6" s="20"/>
      <c r="E6" s="20"/>
      <c r="F6" s="21"/>
    </row>
    <row r="8" spans="1:17" ht="48" customHeight="1" x14ac:dyDescent="0.25">
      <c r="A8" s="3" t="s">
        <v>9</v>
      </c>
      <c r="B8" s="3" t="s">
        <v>10</v>
      </c>
      <c r="C8" s="3" t="s">
        <v>11</v>
      </c>
      <c r="D8" s="3" t="s">
        <v>12</v>
      </c>
      <c r="E8" s="3" t="s">
        <v>13</v>
      </c>
      <c r="F8" s="3" t="s">
        <v>14</v>
      </c>
      <c r="G8" s="3" t="s">
        <v>15</v>
      </c>
      <c r="H8" s="3" t="s">
        <v>16</v>
      </c>
      <c r="I8" s="3" t="s">
        <v>17</v>
      </c>
      <c r="J8" s="3" t="s">
        <v>18</v>
      </c>
      <c r="K8" s="3" t="s">
        <v>21</v>
      </c>
      <c r="L8" s="3" t="s">
        <v>23</v>
      </c>
      <c r="M8" s="3" t="s">
        <v>24</v>
      </c>
      <c r="N8" s="3" t="s">
        <v>25</v>
      </c>
      <c r="O8" s="3" t="s">
        <v>5</v>
      </c>
      <c r="P8" s="3" t="s">
        <v>6</v>
      </c>
      <c r="Q8" s="3" t="s">
        <v>26</v>
      </c>
    </row>
    <row r="9" spans="1:17" x14ac:dyDescent="0.25">
      <c r="A9" s="4" t="s">
        <v>27</v>
      </c>
      <c r="B9" s="4" t="s">
        <v>28</v>
      </c>
      <c r="C9" s="4" t="s">
        <v>29</v>
      </c>
      <c r="D9" s="4" t="s">
        <v>30</v>
      </c>
      <c r="E9" s="4" t="s">
        <v>194</v>
      </c>
      <c r="F9" s="9" t="s">
        <v>133</v>
      </c>
      <c r="G9" s="10" t="s">
        <v>126</v>
      </c>
      <c r="H9" s="9"/>
      <c r="I9" s="4"/>
      <c r="J9" s="4"/>
      <c r="K9" s="4"/>
      <c r="L9" s="4"/>
      <c r="M9" s="4"/>
      <c r="N9" s="4" t="str">
        <f>IF(COUNTIF(K9:M9,"FAIL")&gt;0,"FAIL",IF(COUNTIF(K9:M9,"BLOCKED")&gt;0,"BLOCKED",IF(COUNTIF(K9:M9,"NOT EXECUTED")&gt;0,"NOT EXECUTED",IF(COUNTA(K9:M9)=0,"NOT EXECUTED",IF(COUNTIF(K9:M9,"SUCCESS")+COUNTIF(K9:M9,"PASS")+COUNTIF(K9:M9,"UPDATED")&gt;=3,"PASS","PENDING")))))</f>
        <v>NOT EXECUTED</v>
      </c>
      <c r="O9" s="4"/>
      <c r="P9" s="4"/>
      <c r="Q9" s="4"/>
    </row>
    <row r="10" spans="1:17" x14ac:dyDescent="0.25">
      <c r="A10" s="4" t="s">
        <v>31</v>
      </c>
      <c r="B10" s="4" t="s">
        <v>28</v>
      </c>
      <c r="C10" s="4" t="s">
        <v>29</v>
      </c>
      <c r="D10" s="4" t="s">
        <v>30</v>
      </c>
      <c r="E10" s="4" t="s">
        <v>32</v>
      </c>
      <c r="F10" s="9" t="s">
        <v>135</v>
      </c>
      <c r="G10" s="10" t="s">
        <v>126</v>
      </c>
      <c r="H10" s="9"/>
      <c r="I10" s="4"/>
      <c r="J10" s="4"/>
      <c r="K10" s="4"/>
      <c r="L10" s="4"/>
      <c r="M10" s="4"/>
      <c r="N10" s="4" t="str">
        <f>IF(COUNTIF(K10:M10,"FAIL")&gt;0,"FAIL",IF(COUNTIF(K10:M10,"BLOCKED")&gt;0,"BLOCKED",IF(COUNTIF(K10:M10,"NOT EXECUTED")&gt;0,"NOT EXECUTED",IF(COUNTA(K10:M10)=0,"NOT EXECUTED",IF(COUNTIF(K10:M10,"SUCCESS")+COUNTIF(K10:M10,"PASS")+COUNTIF(K10:M10,"UPDATED")&gt;=3,"PASS","PENDING")))))</f>
        <v>NOT EXECUTED</v>
      </c>
      <c r="O10" s="4"/>
      <c r="P10" s="4"/>
      <c r="Q10" s="4"/>
    </row>
    <row r="11" spans="1:17" s="18" customFormat="1" x14ac:dyDescent="0.25">
      <c r="A11" s="15"/>
      <c r="B11" s="15"/>
      <c r="C11" s="15"/>
      <c r="D11" s="15"/>
      <c r="E11" s="15" t="s">
        <v>128</v>
      </c>
      <c r="F11" s="16">
        <v>1000</v>
      </c>
      <c r="G11" s="17" t="s">
        <v>126</v>
      </c>
      <c r="H11" s="16" t="s">
        <v>186</v>
      </c>
      <c r="I11" s="15"/>
      <c r="J11" s="15"/>
      <c r="K11" s="15"/>
      <c r="L11" s="15"/>
      <c r="M11" s="15"/>
      <c r="N11" s="15"/>
      <c r="O11" s="15"/>
      <c r="P11" s="15"/>
      <c r="Q11" s="15"/>
    </row>
    <row r="12" spans="1:17" x14ac:dyDescent="0.25">
      <c r="A12" s="4" t="s">
        <v>27</v>
      </c>
      <c r="B12" s="4" t="s">
        <v>28</v>
      </c>
      <c r="C12" s="4" t="s">
        <v>33</v>
      </c>
      <c r="D12" s="4" t="s">
        <v>30</v>
      </c>
      <c r="E12" s="4" t="s">
        <v>34</v>
      </c>
      <c r="F12" s="4"/>
      <c r="G12" s="4"/>
      <c r="H12" s="4"/>
      <c r="I12" s="4"/>
      <c r="J12" s="4"/>
      <c r="K12" s="4"/>
      <c r="L12" s="4"/>
      <c r="M12" s="4"/>
      <c r="N12" s="4" t="str">
        <f t="shared" ref="N12:N57" si="0">IF(COUNTIF(K12:M12,"FAIL")&gt;0,"FAIL",IF(COUNTIF(K12:M12,"BLOCKED")&gt;0,"BLOCKED",IF(COUNTIF(K12:M12,"NOT EXECUTED")&gt;0,"NOT EXECUTED",IF(COUNTA(K12:M12)=0,"NOT EXECUTED",IF(COUNTIF(K12:M12,"SUCCESS")+COUNTIF(K12:M12,"PASS")+COUNTIF(K12:M12,"UPDATED")&gt;=3,"PASS","PENDING")))))</f>
        <v>NOT EXECUTED</v>
      </c>
      <c r="O12" s="4"/>
      <c r="P12" s="4"/>
      <c r="Q12" s="4"/>
    </row>
    <row r="13" spans="1:17" x14ac:dyDescent="0.25">
      <c r="A13" s="4" t="s">
        <v>31</v>
      </c>
      <c r="B13" s="4" t="s">
        <v>28</v>
      </c>
      <c r="C13" s="4" t="s">
        <v>29</v>
      </c>
      <c r="D13" s="4" t="s">
        <v>35</v>
      </c>
      <c r="E13" s="4" t="s">
        <v>36</v>
      </c>
      <c r="F13" s="4"/>
      <c r="G13" s="4"/>
      <c r="H13" s="4"/>
      <c r="I13" s="4"/>
      <c r="J13" s="4"/>
      <c r="K13" s="4"/>
      <c r="L13" s="4"/>
      <c r="M13" s="4"/>
      <c r="N13" s="4" t="str">
        <f t="shared" si="0"/>
        <v>NOT EXECUTED</v>
      </c>
      <c r="O13" s="4"/>
      <c r="P13" s="4"/>
      <c r="Q13" s="4"/>
    </row>
    <row r="14" spans="1:17" x14ac:dyDescent="0.25">
      <c r="A14" s="4" t="s">
        <v>37</v>
      </c>
      <c r="B14" s="4" t="s">
        <v>28</v>
      </c>
      <c r="C14" s="4" t="s">
        <v>33</v>
      </c>
      <c r="D14" s="4" t="s">
        <v>35</v>
      </c>
      <c r="E14" s="4" t="s">
        <v>38</v>
      </c>
      <c r="F14" s="4"/>
      <c r="G14" s="4"/>
      <c r="H14" s="4"/>
      <c r="I14" s="4"/>
      <c r="J14" s="4"/>
      <c r="K14" s="4"/>
      <c r="L14" s="4"/>
      <c r="M14" s="4"/>
      <c r="N14" s="4" t="str">
        <f t="shared" si="0"/>
        <v>NOT EXECUTED</v>
      </c>
      <c r="O14" s="4"/>
      <c r="P14" s="4"/>
      <c r="Q14" s="4"/>
    </row>
    <row r="15" spans="1:17" s="18" customFormat="1" x14ac:dyDescent="0.25">
      <c r="A15" s="15" t="s">
        <v>39</v>
      </c>
      <c r="B15" s="15" t="s">
        <v>40</v>
      </c>
      <c r="C15" s="15" t="s">
        <v>29</v>
      </c>
      <c r="D15" s="15" t="s">
        <v>30</v>
      </c>
      <c r="E15" s="15" t="s">
        <v>194</v>
      </c>
      <c r="F15" s="16">
        <v>1000</v>
      </c>
      <c r="G15" s="17" t="s">
        <v>126</v>
      </c>
      <c r="H15" s="16" t="s">
        <v>132</v>
      </c>
      <c r="I15" s="15"/>
      <c r="J15" s="15"/>
      <c r="K15" s="15"/>
      <c r="L15" s="15"/>
      <c r="M15" s="15"/>
      <c r="N15" s="15" t="str">
        <f t="shared" si="0"/>
        <v>NOT EXECUTED</v>
      </c>
      <c r="O15" s="15"/>
      <c r="P15" s="15"/>
      <c r="Q15" s="15"/>
    </row>
    <row r="16" spans="1:17" s="18" customFormat="1" x14ac:dyDescent="0.25">
      <c r="A16" s="15" t="s">
        <v>41</v>
      </c>
      <c r="B16" s="15" t="s">
        <v>40</v>
      </c>
      <c r="C16" s="15" t="s">
        <v>29</v>
      </c>
      <c r="D16" s="15" t="s">
        <v>30</v>
      </c>
      <c r="E16" s="15" t="s">
        <v>32</v>
      </c>
      <c r="F16" s="16">
        <v>100</v>
      </c>
      <c r="G16" s="17" t="s">
        <v>126</v>
      </c>
      <c r="H16" s="16" t="s">
        <v>127</v>
      </c>
      <c r="I16" s="15"/>
      <c r="J16" s="15"/>
      <c r="K16" s="15"/>
      <c r="L16" s="15"/>
      <c r="M16" s="15"/>
      <c r="N16" s="15" t="str">
        <f t="shared" si="0"/>
        <v>NOT EXECUTED</v>
      </c>
      <c r="O16" s="15"/>
      <c r="P16" s="15"/>
      <c r="Q16" s="15"/>
    </row>
    <row r="17" spans="1:17" s="18" customFormat="1" x14ac:dyDescent="0.25">
      <c r="A17" s="15"/>
      <c r="B17" s="15" t="s">
        <v>40</v>
      </c>
      <c r="C17" s="15" t="s">
        <v>29</v>
      </c>
      <c r="D17" s="17" t="s">
        <v>30</v>
      </c>
      <c r="E17" s="15" t="s">
        <v>129</v>
      </c>
      <c r="F17" s="16">
        <v>1500</v>
      </c>
      <c r="G17" s="15" t="s">
        <v>126</v>
      </c>
      <c r="H17" s="16" t="s">
        <v>130</v>
      </c>
      <c r="I17" s="16"/>
      <c r="J17" s="16"/>
      <c r="K17" s="15"/>
      <c r="L17" s="15"/>
      <c r="M17" s="15"/>
      <c r="N17" s="15"/>
      <c r="O17" s="15"/>
      <c r="P17" s="15"/>
      <c r="Q17" s="15"/>
    </row>
    <row r="18" spans="1:17" s="8" customFormat="1" x14ac:dyDescent="0.25">
      <c r="A18" s="4"/>
      <c r="B18" s="4" t="s">
        <v>40</v>
      </c>
      <c r="C18" s="4" t="s">
        <v>29</v>
      </c>
      <c r="D18" s="10" t="s">
        <v>30</v>
      </c>
      <c r="E18" s="4" t="s">
        <v>128</v>
      </c>
      <c r="F18" s="9">
        <v>600</v>
      </c>
      <c r="G18" s="4" t="s">
        <v>126</v>
      </c>
      <c r="H18" s="9" t="s">
        <v>141</v>
      </c>
      <c r="I18" s="9"/>
      <c r="J18" s="9"/>
      <c r="K18" s="4"/>
      <c r="L18" s="4"/>
      <c r="M18" s="4"/>
      <c r="N18" s="4"/>
      <c r="O18" s="4"/>
      <c r="P18" s="4"/>
      <c r="Q18" s="4"/>
    </row>
    <row r="19" spans="1:17" x14ac:dyDescent="0.25">
      <c r="A19" s="4" t="s">
        <v>42</v>
      </c>
      <c r="B19" s="4" t="s">
        <v>40</v>
      </c>
      <c r="C19" s="4" t="s">
        <v>33</v>
      </c>
      <c r="D19" s="4" t="s">
        <v>30</v>
      </c>
      <c r="E19" s="4" t="s">
        <v>34</v>
      </c>
      <c r="F19" s="4"/>
      <c r="G19" s="4"/>
      <c r="H19" s="4"/>
      <c r="I19" s="4"/>
      <c r="J19" s="4"/>
      <c r="K19" s="4"/>
      <c r="L19" s="4"/>
      <c r="M19" s="4"/>
      <c r="N19" s="4" t="str">
        <f t="shared" si="0"/>
        <v>NOT EXECUTED</v>
      </c>
      <c r="O19" s="4"/>
      <c r="P19" s="4"/>
      <c r="Q19" s="4"/>
    </row>
    <row r="20" spans="1:17" x14ac:dyDescent="0.25">
      <c r="A20" s="4" t="s">
        <v>43</v>
      </c>
      <c r="B20" s="4" t="s">
        <v>40</v>
      </c>
      <c r="C20" s="4" t="s">
        <v>29</v>
      </c>
      <c r="D20" s="4" t="s">
        <v>35</v>
      </c>
      <c r="E20" s="4" t="s">
        <v>36</v>
      </c>
      <c r="F20" s="4"/>
      <c r="G20" s="4"/>
      <c r="H20" s="4"/>
      <c r="I20" s="4"/>
      <c r="J20" s="4"/>
      <c r="K20" s="4"/>
      <c r="L20" s="4"/>
      <c r="M20" s="4"/>
      <c r="N20" s="4" t="str">
        <f t="shared" si="0"/>
        <v>NOT EXECUTED</v>
      </c>
      <c r="O20" s="4"/>
      <c r="P20" s="4"/>
      <c r="Q20" s="4"/>
    </row>
    <row r="21" spans="1:17" x14ac:dyDescent="0.25">
      <c r="A21" s="4" t="s">
        <v>44</v>
      </c>
      <c r="B21" s="4" t="s">
        <v>40</v>
      </c>
      <c r="C21" s="4" t="s">
        <v>33</v>
      </c>
      <c r="D21" s="4" t="s">
        <v>35</v>
      </c>
      <c r="E21" s="4" t="s">
        <v>38</v>
      </c>
      <c r="F21" s="4"/>
      <c r="G21" s="4"/>
      <c r="H21" s="4"/>
      <c r="I21" s="4"/>
      <c r="J21" s="4"/>
      <c r="K21" s="4"/>
      <c r="L21" s="4"/>
      <c r="M21" s="4"/>
      <c r="N21" s="4" t="str">
        <f t="shared" si="0"/>
        <v>NOT EXECUTED</v>
      </c>
      <c r="O21" s="4"/>
      <c r="P21" s="4"/>
      <c r="Q21" s="4"/>
    </row>
    <row r="22" spans="1:17" s="18" customFormat="1" x14ac:dyDescent="0.25">
      <c r="A22" s="15" t="s">
        <v>45</v>
      </c>
      <c r="B22" s="15" t="s">
        <v>46</v>
      </c>
      <c r="C22" s="15" t="s">
        <v>29</v>
      </c>
      <c r="D22" s="15" t="s">
        <v>30</v>
      </c>
      <c r="E22" s="15" t="s">
        <v>32</v>
      </c>
      <c r="F22" s="16">
        <v>500</v>
      </c>
      <c r="G22" s="16" t="s">
        <v>126</v>
      </c>
      <c r="H22" s="16" t="s">
        <v>127</v>
      </c>
      <c r="I22" s="16"/>
      <c r="J22" s="16"/>
      <c r="K22" s="15"/>
      <c r="L22" s="15"/>
      <c r="M22" s="15"/>
      <c r="N22" s="15" t="str">
        <f t="shared" si="0"/>
        <v>NOT EXECUTED</v>
      </c>
      <c r="O22" s="15"/>
      <c r="P22" s="15"/>
      <c r="Q22" s="15"/>
    </row>
    <row r="23" spans="1:17" s="18" customFormat="1" x14ac:dyDescent="0.25">
      <c r="A23" s="15" t="s">
        <v>47</v>
      </c>
      <c r="B23" s="15" t="s">
        <v>46</v>
      </c>
      <c r="C23" s="15" t="s">
        <v>29</v>
      </c>
      <c r="D23" s="15" t="s">
        <v>30</v>
      </c>
      <c r="E23" s="15" t="s">
        <v>194</v>
      </c>
      <c r="F23" s="16">
        <v>1000</v>
      </c>
      <c r="G23" s="17" t="s">
        <v>126</v>
      </c>
      <c r="H23" s="16" t="s">
        <v>132</v>
      </c>
      <c r="I23" s="16"/>
      <c r="J23" s="16"/>
      <c r="K23" s="15"/>
      <c r="L23" s="15"/>
      <c r="M23" s="15"/>
      <c r="N23" s="15" t="str">
        <f t="shared" si="0"/>
        <v>NOT EXECUTED</v>
      </c>
      <c r="O23" s="15"/>
      <c r="P23" s="15"/>
      <c r="Q23" s="15"/>
    </row>
    <row r="24" spans="1:17" s="18" customFormat="1" x14ac:dyDescent="0.25">
      <c r="A24" s="15"/>
      <c r="B24" s="15" t="s">
        <v>46</v>
      </c>
      <c r="C24" s="15"/>
      <c r="D24" s="15" t="s">
        <v>30</v>
      </c>
      <c r="E24" s="15" t="s">
        <v>187</v>
      </c>
      <c r="F24" s="16">
        <v>4500</v>
      </c>
      <c r="G24" s="17" t="s">
        <v>126</v>
      </c>
      <c r="H24" s="16" t="s">
        <v>188</v>
      </c>
      <c r="I24" s="16"/>
      <c r="J24" s="16"/>
      <c r="K24" s="15"/>
      <c r="L24" s="15"/>
      <c r="M24" s="15"/>
      <c r="N24" s="15"/>
      <c r="O24" s="15"/>
      <c r="P24" s="15"/>
      <c r="Q24" s="15"/>
    </row>
    <row r="25" spans="1:17" x14ac:dyDescent="0.25">
      <c r="A25" s="4" t="s">
        <v>48</v>
      </c>
      <c r="B25" s="4" t="s">
        <v>46</v>
      </c>
      <c r="C25" s="4" t="s">
        <v>33</v>
      </c>
      <c r="D25" s="4" t="s">
        <v>30</v>
      </c>
      <c r="E25" s="4" t="s">
        <v>34</v>
      </c>
      <c r="F25" s="4"/>
      <c r="G25" s="4"/>
      <c r="H25" s="4"/>
      <c r="I25" s="4"/>
      <c r="J25" s="4"/>
      <c r="K25" s="4"/>
      <c r="L25" s="4"/>
      <c r="M25" s="4"/>
      <c r="N25" s="4" t="str">
        <f t="shared" si="0"/>
        <v>NOT EXECUTED</v>
      </c>
      <c r="O25" s="4"/>
      <c r="P25" s="4"/>
      <c r="Q25" s="4"/>
    </row>
    <row r="26" spans="1:17" x14ac:dyDescent="0.25">
      <c r="A26" s="4" t="s">
        <v>49</v>
      </c>
      <c r="B26" s="4" t="s">
        <v>46</v>
      </c>
      <c r="C26" s="4" t="s">
        <v>29</v>
      </c>
      <c r="D26" s="4" t="s">
        <v>35</v>
      </c>
      <c r="E26" s="4" t="s">
        <v>36</v>
      </c>
      <c r="F26" s="4"/>
      <c r="G26" s="4"/>
      <c r="H26" s="4"/>
      <c r="I26" s="4"/>
      <c r="J26" s="4"/>
      <c r="K26" s="4"/>
      <c r="L26" s="4"/>
      <c r="M26" s="4"/>
      <c r="N26" s="4" t="str">
        <f t="shared" si="0"/>
        <v>NOT EXECUTED</v>
      </c>
      <c r="O26" s="4"/>
      <c r="P26" s="4"/>
      <c r="Q26" s="4"/>
    </row>
    <row r="27" spans="1:17" x14ac:dyDescent="0.25">
      <c r="A27" s="4" t="s">
        <v>50</v>
      </c>
      <c r="B27" s="4" t="s">
        <v>46</v>
      </c>
      <c r="C27" s="4" t="s">
        <v>33</v>
      </c>
      <c r="D27" s="4" t="s">
        <v>35</v>
      </c>
      <c r="E27" s="4" t="s">
        <v>38</v>
      </c>
      <c r="F27" s="4"/>
      <c r="G27" s="4"/>
      <c r="H27" s="4"/>
      <c r="I27" s="4"/>
      <c r="J27" s="4"/>
      <c r="K27" s="4"/>
      <c r="L27" s="4"/>
      <c r="M27" s="4"/>
      <c r="N27" s="4" t="str">
        <f t="shared" si="0"/>
        <v>NOT EXECUTED</v>
      </c>
      <c r="O27" s="4"/>
      <c r="P27" s="4"/>
      <c r="Q27" s="4"/>
    </row>
    <row r="28" spans="1:17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 t="str">
        <f t="shared" si="0"/>
        <v>NOT EXECUTED</v>
      </c>
      <c r="O28" s="4"/>
      <c r="P28" s="4"/>
      <c r="Q28" s="4"/>
    </row>
    <row r="29" spans="1:17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 t="str">
        <f t="shared" si="0"/>
        <v>NOT EXECUTED</v>
      </c>
      <c r="O29" s="4"/>
      <c r="P29" s="4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 t="str">
        <f t="shared" si="0"/>
        <v>NOT EXECUTED</v>
      </c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 t="str">
        <f t="shared" si="0"/>
        <v>NOT EXECUTED</v>
      </c>
      <c r="O31" s="4"/>
      <c r="P31" s="4"/>
      <c r="Q31" s="4"/>
    </row>
    <row r="32" spans="1:17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 t="str">
        <f t="shared" si="0"/>
        <v>NOT EXECUTED</v>
      </c>
      <c r="O32" s="4"/>
      <c r="P32" s="4"/>
      <c r="Q32" s="4"/>
    </row>
    <row r="33" spans="1:17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 t="str">
        <f t="shared" si="0"/>
        <v>NOT EXECUTED</v>
      </c>
      <c r="O33" s="4"/>
      <c r="P33" s="4"/>
      <c r="Q33" s="4"/>
    </row>
    <row r="34" spans="1:17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 t="str">
        <f t="shared" si="0"/>
        <v>NOT EXECUTED</v>
      </c>
      <c r="O34" s="4"/>
      <c r="P34" s="4"/>
      <c r="Q34" s="4"/>
    </row>
    <row r="35" spans="1:17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 t="str">
        <f t="shared" si="0"/>
        <v>NOT EXECUTED</v>
      </c>
      <c r="O35" s="4"/>
      <c r="P35" s="4"/>
      <c r="Q35" s="4"/>
    </row>
    <row r="36" spans="1:17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 t="str">
        <f t="shared" si="0"/>
        <v>NOT EXECUTED</v>
      </c>
      <c r="O36" s="4"/>
      <c r="P36" s="4"/>
      <c r="Q36" s="4"/>
    </row>
    <row r="37" spans="1:17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 t="str">
        <f t="shared" si="0"/>
        <v>NOT EXECUTED</v>
      </c>
      <c r="O37" s="4"/>
      <c r="P37" s="4"/>
      <c r="Q37" s="4"/>
    </row>
    <row r="38" spans="1:17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 t="str">
        <f t="shared" si="0"/>
        <v>NOT EXECUTED</v>
      </c>
      <c r="O38" s="4"/>
      <c r="P38" s="4"/>
      <c r="Q38" s="4"/>
    </row>
    <row r="39" spans="1:17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 t="str">
        <f t="shared" si="0"/>
        <v>NOT EXECUTED</v>
      </c>
      <c r="O39" s="4"/>
      <c r="P39" s="4"/>
      <c r="Q39" s="4"/>
    </row>
    <row r="40" spans="1:17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 t="str">
        <f t="shared" si="0"/>
        <v>NOT EXECUTED</v>
      </c>
      <c r="O40" s="4"/>
      <c r="P40" s="4"/>
      <c r="Q40" s="4"/>
    </row>
    <row r="41" spans="1:17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 t="str">
        <f t="shared" si="0"/>
        <v>NOT EXECUTED</v>
      </c>
      <c r="O41" s="4"/>
      <c r="P41" s="4"/>
      <c r="Q41" s="4"/>
    </row>
    <row r="42" spans="1:17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 t="str">
        <f t="shared" si="0"/>
        <v>NOT EXECUTED</v>
      </c>
      <c r="O42" s="4"/>
      <c r="P42" s="4"/>
      <c r="Q42" s="4"/>
    </row>
    <row r="43" spans="1:17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 t="str">
        <f t="shared" si="0"/>
        <v>NOT EXECUTED</v>
      </c>
      <c r="O43" s="4"/>
      <c r="P43" s="4"/>
      <c r="Q43" s="4"/>
    </row>
    <row r="44" spans="1:17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 t="str">
        <f t="shared" si="0"/>
        <v>NOT EXECUTED</v>
      </c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 t="str">
        <f t="shared" si="0"/>
        <v>NOT EXECUTED</v>
      </c>
      <c r="O45" s="4"/>
      <c r="P45" s="4"/>
      <c r="Q45" s="4"/>
    </row>
    <row r="46" spans="1:17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 t="str">
        <f t="shared" si="0"/>
        <v>NOT EXECUTED</v>
      </c>
      <c r="O46" s="4"/>
      <c r="P46" s="4"/>
      <c r="Q46" s="4"/>
    </row>
    <row r="47" spans="1:17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 t="str">
        <f t="shared" si="0"/>
        <v>NOT EXECUTED</v>
      </c>
      <c r="O47" s="4"/>
      <c r="P47" s="4"/>
      <c r="Q47" s="4"/>
    </row>
    <row r="48" spans="1:17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 t="str">
        <f t="shared" si="0"/>
        <v>NOT EXECUTED</v>
      </c>
      <c r="O48" s="4"/>
      <c r="P48" s="4"/>
      <c r="Q48" s="4"/>
    </row>
    <row r="49" spans="1:17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 t="str">
        <f t="shared" si="0"/>
        <v>NOT EXECUTED</v>
      </c>
      <c r="O49" s="4"/>
      <c r="P49" s="4"/>
      <c r="Q49" s="4"/>
    </row>
    <row r="50" spans="1:17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 t="str">
        <f t="shared" si="0"/>
        <v>NOT EXECUTED</v>
      </c>
      <c r="O50" s="4"/>
      <c r="P50" s="4"/>
      <c r="Q50" s="4"/>
    </row>
    <row r="51" spans="1:17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 t="str">
        <f t="shared" si="0"/>
        <v>NOT EXECUTED</v>
      </c>
      <c r="O51" s="4"/>
      <c r="P51" s="4"/>
      <c r="Q51" s="4"/>
    </row>
    <row r="52" spans="1:17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 t="str">
        <f t="shared" si="0"/>
        <v>NOT EXECUTED</v>
      </c>
      <c r="O52" s="4"/>
      <c r="P52" s="4"/>
      <c r="Q52" s="4"/>
    </row>
    <row r="53" spans="1:17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 t="str">
        <f t="shared" si="0"/>
        <v>NOT EXECUTED</v>
      </c>
      <c r="O53" s="4"/>
      <c r="P53" s="4"/>
      <c r="Q53" s="4"/>
    </row>
    <row r="54" spans="1:17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 t="str">
        <f t="shared" si="0"/>
        <v>NOT EXECUTED</v>
      </c>
      <c r="O54" s="4"/>
      <c r="P54" s="4"/>
      <c r="Q54" s="4"/>
    </row>
    <row r="55" spans="1:17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 t="str">
        <f t="shared" si="0"/>
        <v>NOT EXECUTED</v>
      </c>
      <c r="O55" s="4"/>
      <c r="P55" s="4"/>
      <c r="Q55" s="4"/>
    </row>
    <row r="56" spans="1:17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 t="str">
        <f t="shared" si="0"/>
        <v>NOT EXECUTED</v>
      </c>
      <c r="O56" s="4"/>
      <c r="P56" s="4"/>
      <c r="Q56" s="4"/>
    </row>
    <row r="57" spans="1:17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 t="str">
        <f t="shared" si="0"/>
        <v>NOT EXECUTED</v>
      </c>
      <c r="O57" s="4"/>
      <c r="P57" s="4"/>
      <c r="Q57" s="4"/>
    </row>
  </sheetData>
  <autoFilter ref="A8:Q57"/>
  <mergeCells count="6">
    <mergeCell ref="B4:F4"/>
    <mergeCell ref="A1:Q1"/>
    <mergeCell ref="B6:F6"/>
    <mergeCell ref="B2:F2"/>
    <mergeCell ref="B3:F3"/>
    <mergeCell ref="B5:F5"/>
  </mergeCells>
  <conditionalFormatting sqref="N9:N57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"BLOCKED"</formula>
    </cfRule>
  </conditionalFormatting>
  <dataValidations count="3">
    <dataValidation type="list" allowBlank="1" sqref="B9:B57">
      <formula1>"Visa,Mastercard,JCB"</formula1>
    </dataValidation>
    <dataValidation type="list" allowBlank="1" sqref="C9:C57">
      <formula1>"Debit,Credit"</formula1>
    </dataValidation>
    <dataValidation type="list" allowBlank="1" sqref="K9:M57">
      <formula1>"SUCCESS,PASS,FAIL,BLOCKED,NOT EXECUTED,UPDATED,NA"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sqref="A1:F1"/>
    </sheetView>
  </sheetViews>
  <sheetFormatPr defaultRowHeight="15" x14ac:dyDescent="0.25"/>
  <cols>
    <col min="1" max="1" width="25" customWidth="1"/>
    <col min="2" max="5" width="15" customWidth="1"/>
    <col min="6" max="6" width="18" customWidth="1"/>
  </cols>
  <sheetData>
    <row r="1" spans="1:6" ht="21" x14ac:dyDescent="0.35">
      <c r="A1" s="24" t="s">
        <v>51</v>
      </c>
      <c r="B1" s="23"/>
      <c r="C1" s="23"/>
      <c r="D1" s="23"/>
      <c r="E1" s="23"/>
      <c r="F1" s="23"/>
    </row>
    <row r="3" spans="1:6" x14ac:dyDescent="0.25">
      <c r="A3" s="7" t="s">
        <v>10</v>
      </c>
      <c r="B3" s="7" t="s">
        <v>52</v>
      </c>
      <c r="C3" s="7" t="s">
        <v>53</v>
      </c>
      <c r="D3" s="7" t="s">
        <v>54</v>
      </c>
      <c r="E3" s="7" t="s">
        <v>55</v>
      </c>
      <c r="F3" s="7" t="s">
        <v>56</v>
      </c>
    </row>
    <row r="4" spans="1:6" x14ac:dyDescent="0.25">
      <c r="A4" s="2" t="s">
        <v>28</v>
      </c>
      <c r="B4" s="2">
        <f>COUNTIF('Withdrawal - Card Matrix'!B9:B57,A4)</f>
        <v>5</v>
      </c>
      <c r="C4" s="2">
        <f>COUNTIFS('Withdrawal - Card Matrix'!B9:B57,A4,'Withdrawal - Card Matrix'!N9:N57,"PASS")</f>
        <v>0</v>
      </c>
      <c r="D4" s="2">
        <f>COUNTIFS('Withdrawal - Card Matrix'!B9:B57,A4,'Withdrawal - Card Matrix'!N9:N57,"FAIL")</f>
        <v>0</v>
      </c>
      <c r="E4" s="2">
        <f>COUNTIFS('Withdrawal - Card Matrix'!B9:B57,A4,'Withdrawal - Card Matrix'!N9:N57,"BLOCKED")</f>
        <v>0</v>
      </c>
      <c r="F4" s="2">
        <f>COUNTIFS('Withdrawal - Card Matrix'!B9:B57,A4,'Withdrawal - Card Matrix'!N9:N57,"NOT EXECUTED")</f>
        <v>5</v>
      </c>
    </row>
    <row r="5" spans="1:6" x14ac:dyDescent="0.25">
      <c r="A5" s="2" t="s">
        <v>40</v>
      </c>
      <c r="B5" s="2">
        <f>COUNTIF('Withdrawal - Card Matrix'!B9:B57,A5)</f>
        <v>7</v>
      </c>
      <c r="C5" s="2">
        <f>COUNTIFS('Withdrawal - Card Matrix'!B9:B57,A5,'Withdrawal - Card Matrix'!N9:N57,"PASS")</f>
        <v>0</v>
      </c>
      <c r="D5" s="2">
        <f>COUNTIFS('Withdrawal - Card Matrix'!B9:B57,A5,'Withdrawal - Card Matrix'!N9:N57,"FAIL")</f>
        <v>0</v>
      </c>
      <c r="E5" s="2">
        <f>COUNTIFS('Withdrawal - Card Matrix'!B9:B57,A5,'Withdrawal - Card Matrix'!N9:N57,"BLOCKED")</f>
        <v>0</v>
      </c>
      <c r="F5" s="2">
        <f>COUNTIFS('Withdrawal - Card Matrix'!B9:B57,A5,'Withdrawal - Card Matrix'!N9:N57,"NOT EXECUTED")</f>
        <v>5</v>
      </c>
    </row>
    <row r="6" spans="1:6" x14ac:dyDescent="0.25">
      <c r="A6" s="2" t="s">
        <v>46</v>
      </c>
      <c r="B6" s="2">
        <f>COUNTIF('Withdrawal - Card Matrix'!B9:B57,A6)</f>
        <v>6</v>
      </c>
      <c r="C6" s="2">
        <f>COUNTIFS('Withdrawal - Card Matrix'!B9:B57,A6,'Withdrawal - Card Matrix'!N9:N57,"PASS")</f>
        <v>0</v>
      </c>
      <c r="D6" s="2">
        <f>COUNTIFS('Withdrawal - Card Matrix'!B9:B57,A6,'Withdrawal - Card Matrix'!N9:N57,"FAIL")</f>
        <v>0</v>
      </c>
      <c r="E6" s="2">
        <f>COUNTIFS('Withdrawal - Card Matrix'!B9:B57,A6,'Withdrawal - Card Matrix'!N9:N57,"BLOCKED")</f>
        <v>0</v>
      </c>
      <c r="F6" s="2">
        <f>COUNTIFS('Withdrawal - Card Matrix'!B9:B57,A6,'Withdrawal - Card Matrix'!N9:N57,"NOT EXECUTED")</f>
        <v>5</v>
      </c>
    </row>
    <row r="8" spans="1:6" x14ac:dyDescent="0.25">
      <c r="A8" s="5" t="s">
        <v>57</v>
      </c>
      <c r="B8" s="6">
        <f>IF(COUNTA('Withdrawal - Card Matrix'!A9:A57)=0,0,COUNTIF('Withdrawal - Card Matrix'!N9:N57,"PASS")/COUNTA('Withdrawal - Card Matrix'!A9:A57))</f>
        <v>0</v>
      </c>
    </row>
    <row r="9" spans="1:6" x14ac:dyDescent="0.25">
      <c r="A9" s="5" t="s">
        <v>58</v>
      </c>
      <c r="B9" s="6">
        <f>IF((COUNTIF('Withdrawal - Card Matrix'!N9:N57,"PASS")+COUNTIF('Withdrawal - Card Matrix'!N9:N57,"FAIL"))=0,0,COUNTIF('Withdrawal - Card Matrix'!N9:N57,"PASS")/(COUNTIF('Withdrawal - Card Matrix'!N9:N57,"PASS")+COUNTIF('Withdrawal - Card Matrix'!N9:N57,"FAIL")))</f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2"/>
  <sheetViews>
    <sheetView tabSelected="1" zoomScaleNormal="100" workbookViewId="0">
      <pane ySplit="7" topLeftCell="A20" activePane="bottomLeft" state="frozen"/>
      <selection pane="bottomLeft" activeCell="C8" sqref="C8"/>
    </sheetView>
  </sheetViews>
  <sheetFormatPr defaultRowHeight="15" x14ac:dyDescent="0.25"/>
  <cols>
    <col min="1" max="1" width="14.42578125" bestFit="1" customWidth="1"/>
    <col min="2" max="2" width="22" customWidth="1"/>
    <col min="3" max="3" width="42" customWidth="1"/>
    <col min="4" max="4" width="16" customWidth="1"/>
    <col min="5" max="5" width="24" customWidth="1"/>
    <col min="6" max="6" width="13" customWidth="1"/>
    <col min="7" max="7" width="18" customWidth="1"/>
    <col min="8" max="8" width="18.7109375" bestFit="1" customWidth="1"/>
    <col min="9" max="10" width="16" customWidth="1"/>
    <col min="11" max="12" width="15" customWidth="1"/>
    <col min="13" max="14" width="18" customWidth="1"/>
    <col min="15" max="15" width="17" customWidth="1"/>
    <col min="16" max="16" width="16" customWidth="1"/>
    <col min="17" max="17" width="18" customWidth="1"/>
    <col min="18" max="18" width="35" customWidth="1"/>
  </cols>
  <sheetData>
    <row r="1" spans="1:18" ht="21" x14ac:dyDescent="0.25">
      <c r="A1" s="22" t="s">
        <v>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x14ac:dyDescent="0.25">
      <c r="A2" s="1" t="s">
        <v>1</v>
      </c>
      <c r="B2" s="19" t="s">
        <v>2</v>
      </c>
      <c r="C2" s="20"/>
      <c r="D2" s="20"/>
      <c r="E2" s="20"/>
      <c r="F2" s="21"/>
    </row>
    <row r="3" spans="1:18" x14ac:dyDescent="0.25">
      <c r="A3" s="1" t="s">
        <v>5</v>
      </c>
      <c r="B3" s="19" t="s">
        <v>191</v>
      </c>
      <c r="C3" s="20"/>
      <c r="D3" s="20"/>
      <c r="E3" s="20"/>
      <c r="F3" s="21"/>
    </row>
    <row r="4" spans="1:18" x14ac:dyDescent="0.25">
      <c r="A4" s="1" t="s">
        <v>6</v>
      </c>
      <c r="B4" s="19" t="s">
        <v>125</v>
      </c>
      <c r="C4" s="20"/>
      <c r="D4" s="20"/>
      <c r="E4" s="20"/>
      <c r="F4" s="21"/>
    </row>
    <row r="5" spans="1:18" x14ac:dyDescent="0.25">
      <c r="A5" s="1" t="s">
        <v>60</v>
      </c>
      <c r="B5" s="19" t="s">
        <v>61</v>
      </c>
      <c r="C5" s="20"/>
      <c r="D5" s="20"/>
      <c r="E5" s="20"/>
      <c r="F5" s="21"/>
    </row>
    <row r="7" spans="1:18" x14ac:dyDescent="0.25">
      <c r="A7" s="3" t="s">
        <v>9</v>
      </c>
      <c r="B7" s="3" t="s">
        <v>62</v>
      </c>
      <c r="C7" s="3" t="s">
        <v>63</v>
      </c>
      <c r="D7" s="3" t="s">
        <v>11</v>
      </c>
      <c r="E7" s="3" t="s">
        <v>16</v>
      </c>
      <c r="F7" s="3" t="s">
        <v>64</v>
      </c>
      <c r="G7" s="3" t="s">
        <v>17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22</v>
      </c>
      <c r="M7" s="3" t="s">
        <v>23</v>
      </c>
      <c r="N7" s="3" t="s">
        <v>24</v>
      </c>
      <c r="O7" s="3" t="s">
        <v>25</v>
      </c>
      <c r="P7" s="3" t="s">
        <v>5</v>
      </c>
      <c r="Q7" s="3" t="s">
        <v>6</v>
      </c>
      <c r="R7" s="3" t="s">
        <v>26</v>
      </c>
    </row>
    <row r="8" spans="1:18" ht="30" x14ac:dyDescent="0.25">
      <c r="A8" s="4" t="s">
        <v>67</v>
      </c>
      <c r="B8" s="4" t="s">
        <v>68</v>
      </c>
      <c r="C8" s="4" t="s">
        <v>197</v>
      </c>
      <c r="D8" s="4" t="s">
        <v>66</v>
      </c>
      <c r="E8" s="4"/>
      <c r="F8" s="9" t="s">
        <v>136</v>
      </c>
      <c r="G8" s="4"/>
      <c r="H8" s="9" t="s">
        <v>137</v>
      </c>
      <c r="I8" s="4"/>
      <c r="J8" s="4"/>
      <c r="K8" s="4"/>
      <c r="L8" s="4"/>
      <c r="M8" s="4"/>
      <c r="N8" s="4"/>
      <c r="O8" s="4" t="str">
        <f t="shared" ref="O8:O24" si="0">IF(COUNTIF(K8:N8,"FAIL")&gt;0,"FAIL",IF(COUNTIF(K8:N8,"BLOCKED")&gt;0,"BLOCKED",IF(COUNTIF(K8:N8,"NOT EXECUTED")&gt;0,"NOT EXECUTED",IF(COUNTA(K8:N8)=0,"NOT EXECUTED",IF(COUNTIF(K8:N8,"PASS")+COUNTIF(K8:N8,"SUCCESS")+COUNTIF(K8:N8,"UPDATED")&gt;=4,"PASS","PENDING")))))</f>
        <v>NOT EXECUTED</v>
      </c>
      <c r="P8" s="4"/>
      <c r="Q8" s="4"/>
      <c r="R8" s="4"/>
    </row>
    <row r="9" spans="1:18" s="8" customFormat="1" ht="30" x14ac:dyDescent="0.25">
      <c r="A9" s="4"/>
      <c r="B9" s="4"/>
      <c r="C9" s="4" t="s">
        <v>139</v>
      </c>
      <c r="D9" s="4" t="s">
        <v>66</v>
      </c>
      <c r="E9" s="9"/>
      <c r="F9" s="9" t="s">
        <v>147</v>
      </c>
      <c r="G9" s="4"/>
      <c r="H9" s="9" t="s">
        <v>166</v>
      </c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4" t="s">
        <v>69</v>
      </c>
      <c r="B10" s="4" t="s">
        <v>68</v>
      </c>
      <c r="C10" s="4" t="s">
        <v>70</v>
      </c>
      <c r="D10" s="4" t="s">
        <v>71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 t="str">
        <f t="shared" si="0"/>
        <v>NOT EXECUTED</v>
      </c>
      <c r="P10" s="4"/>
      <c r="Q10" s="4"/>
      <c r="R10" s="4"/>
    </row>
    <row r="11" spans="1:18" ht="30" x14ac:dyDescent="0.25">
      <c r="A11" s="4" t="s">
        <v>72</v>
      </c>
      <c r="B11" s="4" t="s">
        <v>73</v>
      </c>
      <c r="C11" s="4" t="s">
        <v>196</v>
      </c>
      <c r="D11" s="4" t="s">
        <v>66</v>
      </c>
      <c r="E11" s="4"/>
      <c r="F11" s="9" t="s">
        <v>131</v>
      </c>
      <c r="G11" s="4"/>
      <c r="H11" s="9" t="s">
        <v>163</v>
      </c>
      <c r="I11" s="4"/>
      <c r="J11" s="4"/>
      <c r="K11" s="4"/>
      <c r="L11" s="4"/>
      <c r="M11" s="4"/>
      <c r="N11" s="4"/>
      <c r="O11" s="4" t="str">
        <f t="shared" si="0"/>
        <v>NOT EXECUTED</v>
      </c>
      <c r="P11" s="4"/>
      <c r="Q11" s="4"/>
      <c r="R11" s="4"/>
    </row>
    <row r="12" spans="1:18" ht="45" x14ac:dyDescent="0.25">
      <c r="A12" s="4" t="s">
        <v>74</v>
      </c>
      <c r="B12" s="4" t="s">
        <v>73</v>
      </c>
      <c r="C12" s="4" t="s">
        <v>75</v>
      </c>
      <c r="D12" s="4" t="s">
        <v>66</v>
      </c>
      <c r="E12" s="4"/>
      <c r="F12" s="9" t="s">
        <v>160</v>
      </c>
      <c r="G12" s="4"/>
      <c r="H12" s="9" t="s">
        <v>159</v>
      </c>
      <c r="I12" s="4"/>
      <c r="J12" s="4"/>
      <c r="K12" s="4"/>
      <c r="L12" s="4"/>
      <c r="M12" s="4"/>
      <c r="N12" s="4" t="s">
        <v>162</v>
      </c>
      <c r="O12" s="4" t="str">
        <f t="shared" si="0"/>
        <v>FAIL</v>
      </c>
      <c r="P12" s="4"/>
      <c r="Q12" s="4"/>
      <c r="R12" s="4" t="s">
        <v>161</v>
      </c>
    </row>
    <row r="13" spans="1:18" x14ac:dyDescent="0.25">
      <c r="A13" s="4" t="s">
        <v>76</v>
      </c>
      <c r="B13" s="4" t="s">
        <v>77</v>
      </c>
      <c r="C13" s="4" t="s">
        <v>78</v>
      </c>
      <c r="D13" s="4" t="s">
        <v>66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 t="str">
        <f t="shared" si="0"/>
        <v>NOT EXECUTED</v>
      </c>
      <c r="P13" s="4"/>
      <c r="Q13" s="4"/>
      <c r="R13" s="4"/>
    </row>
    <row r="14" spans="1:18" x14ac:dyDescent="0.25">
      <c r="A14" s="4" t="s">
        <v>79</v>
      </c>
      <c r="B14" s="4" t="s">
        <v>77</v>
      </c>
      <c r="C14" s="4" t="s">
        <v>80</v>
      </c>
      <c r="D14" s="4" t="s">
        <v>35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 t="str">
        <f t="shared" si="0"/>
        <v>NOT EXECUTED</v>
      </c>
      <c r="P14" s="4"/>
      <c r="Q14" s="4"/>
      <c r="R14" s="4"/>
    </row>
    <row r="15" spans="1:18" s="18" customFormat="1" ht="30" x14ac:dyDescent="0.25">
      <c r="A15" s="15" t="s">
        <v>81</v>
      </c>
      <c r="B15" s="15" t="s">
        <v>82</v>
      </c>
      <c r="C15" s="15" t="s">
        <v>164</v>
      </c>
      <c r="D15" s="15" t="s">
        <v>66</v>
      </c>
      <c r="E15" s="15"/>
      <c r="F15" s="16" t="s">
        <v>165</v>
      </c>
      <c r="G15" s="15"/>
      <c r="H15" s="16" t="s">
        <v>189</v>
      </c>
      <c r="I15" s="15"/>
      <c r="J15" s="15"/>
      <c r="K15" s="15"/>
      <c r="L15" s="15"/>
      <c r="M15" s="15"/>
      <c r="N15" s="15"/>
      <c r="O15" s="15" t="str">
        <f t="shared" si="0"/>
        <v>NOT EXECUTED</v>
      </c>
      <c r="P15" s="15"/>
      <c r="Q15" s="15"/>
      <c r="R15" s="15"/>
    </row>
    <row r="16" spans="1:18" s="18" customFormat="1" ht="30" x14ac:dyDescent="0.25">
      <c r="A16" s="15" t="s">
        <v>83</v>
      </c>
      <c r="B16" s="15" t="s">
        <v>82</v>
      </c>
      <c r="C16" s="15" t="s">
        <v>195</v>
      </c>
      <c r="D16" s="15" t="s">
        <v>66</v>
      </c>
      <c r="E16" s="15"/>
      <c r="F16" s="16" t="s">
        <v>165</v>
      </c>
      <c r="G16" s="15"/>
      <c r="H16" s="16" t="s">
        <v>190</v>
      </c>
      <c r="I16" s="15"/>
      <c r="J16" s="15"/>
      <c r="K16" s="15"/>
      <c r="L16" s="15"/>
      <c r="M16" s="15"/>
      <c r="N16" s="15"/>
      <c r="O16" s="15" t="str">
        <f t="shared" si="0"/>
        <v>NOT EXECUTED</v>
      </c>
      <c r="P16" s="15"/>
      <c r="Q16" s="15"/>
      <c r="R16" s="15"/>
    </row>
    <row r="17" spans="1:18" s="18" customFormat="1" ht="30" x14ac:dyDescent="0.25">
      <c r="A17" s="15"/>
      <c r="B17" s="17" t="s">
        <v>82</v>
      </c>
      <c r="C17" s="15" t="s">
        <v>192</v>
      </c>
      <c r="D17" s="15" t="s">
        <v>66</v>
      </c>
      <c r="E17" s="15"/>
      <c r="F17" s="16" t="s">
        <v>165</v>
      </c>
      <c r="G17" s="15"/>
      <c r="H17" s="16" t="s">
        <v>193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25">
      <c r="A18" s="4" t="s">
        <v>84</v>
      </c>
      <c r="B18" s="4" t="s">
        <v>85</v>
      </c>
      <c r="C18" s="4" t="s">
        <v>85</v>
      </c>
      <c r="D18" s="4" t="s">
        <v>66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 t="str">
        <f t="shared" si="0"/>
        <v>NOT EXECUTED</v>
      </c>
      <c r="P18" s="4"/>
      <c r="Q18" s="4"/>
      <c r="R18" s="4"/>
    </row>
    <row r="19" spans="1:18" ht="30" x14ac:dyDescent="0.25">
      <c r="A19" s="4" t="s">
        <v>86</v>
      </c>
      <c r="B19" s="4" t="s">
        <v>87</v>
      </c>
      <c r="C19" s="4" t="s">
        <v>88</v>
      </c>
      <c r="D19" s="4" t="s">
        <v>66</v>
      </c>
      <c r="E19" s="4"/>
      <c r="F19" s="9" t="s">
        <v>151</v>
      </c>
      <c r="G19" s="4"/>
      <c r="H19" s="9" t="s">
        <v>152</v>
      </c>
      <c r="I19" s="4"/>
      <c r="J19" s="4"/>
      <c r="K19" s="4"/>
      <c r="L19" s="4"/>
      <c r="M19" s="4"/>
      <c r="N19" s="4"/>
      <c r="O19" s="4" t="str">
        <f t="shared" si="0"/>
        <v>NOT EXECUTED</v>
      </c>
      <c r="P19" s="4"/>
      <c r="Q19" s="4"/>
      <c r="R19" s="4"/>
    </row>
    <row r="20" spans="1:18" ht="30" x14ac:dyDescent="0.25">
      <c r="A20" s="4" t="s">
        <v>89</v>
      </c>
      <c r="B20" s="4" t="s">
        <v>87</v>
      </c>
      <c r="C20" s="4" t="s">
        <v>90</v>
      </c>
      <c r="D20" s="4" t="s">
        <v>66</v>
      </c>
      <c r="E20" s="4"/>
      <c r="F20" s="9" t="s">
        <v>149</v>
      </c>
      <c r="G20" s="4"/>
      <c r="H20" s="9" t="s">
        <v>150</v>
      </c>
      <c r="I20" s="4"/>
      <c r="J20" s="4"/>
      <c r="K20" s="4"/>
      <c r="L20" s="4"/>
      <c r="M20" s="4"/>
      <c r="N20" s="4"/>
      <c r="O20" s="4" t="str">
        <f t="shared" si="0"/>
        <v>NOT EXECUTED</v>
      </c>
      <c r="P20" s="4"/>
      <c r="Q20" s="4"/>
      <c r="R20" s="4"/>
    </row>
    <row r="21" spans="1:18" ht="30" x14ac:dyDescent="0.25">
      <c r="A21" s="4" t="s">
        <v>91</v>
      </c>
      <c r="B21" s="4" t="s">
        <v>87</v>
      </c>
      <c r="C21" s="4" t="s">
        <v>92</v>
      </c>
      <c r="D21" s="4" t="s">
        <v>66</v>
      </c>
      <c r="E21" s="4"/>
      <c r="F21" s="9" t="s">
        <v>144</v>
      </c>
      <c r="G21" s="4"/>
      <c r="H21" s="9" t="s">
        <v>145</v>
      </c>
      <c r="I21" s="4"/>
      <c r="J21" s="4"/>
      <c r="K21" s="4"/>
      <c r="L21" s="4"/>
      <c r="M21" s="4"/>
      <c r="N21" s="4"/>
      <c r="O21" s="4" t="str">
        <f t="shared" si="0"/>
        <v>NOT EXECUTED</v>
      </c>
      <c r="P21" s="4"/>
      <c r="Q21" s="4"/>
      <c r="R21" s="4"/>
    </row>
    <row r="22" spans="1:18" ht="30" x14ac:dyDescent="0.25">
      <c r="A22" s="4" t="s">
        <v>93</v>
      </c>
      <c r="B22" s="4" t="s">
        <v>87</v>
      </c>
      <c r="C22" s="4" t="s">
        <v>94</v>
      </c>
      <c r="D22" s="4" t="s">
        <v>66</v>
      </c>
      <c r="E22" s="4"/>
      <c r="F22" s="9" t="s">
        <v>134</v>
      </c>
      <c r="G22" s="4"/>
      <c r="H22" s="9" t="s">
        <v>146</v>
      </c>
      <c r="I22" s="4"/>
      <c r="J22" s="4"/>
      <c r="K22" s="4"/>
      <c r="L22" s="4"/>
      <c r="M22" s="4"/>
      <c r="N22" s="4"/>
      <c r="O22" s="4" t="str">
        <f t="shared" si="0"/>
        <v>NOT EXECUTED</v>
      </c>
      <c r="P22" s="4"/>
      <c r="Q22" s="4"/>
      <c r="R22" s="4"/>
    </row>
    <row r="23" spans="1:18" ht="30" x14ac:dyDescent="0.25">
      <c r="A23" s="4" t="s">
        <v>95</v>
      </c>
      <c r="B23" s="4" t="s">
        <v>87</v>
      </c>
      <c r="C23" s="4" t="s">
        <v>96</v>
      </c>
      <c r="D23" s="4" t="s">
        <v>66</v>
      </c>
      <c r="E23" s="4"/>
      <c r="F23" s="9" t="s">
        <v>156</v>
      </c>
      <c r="G23" s="4"/>
      <c r="H23" s="9" t="s">
        <v>157</v>
      </c>
      <c r="I23" s="4"/>
      <c r="J23" s="4"/>
      <c r="K23" s="4"/>
      <c r="L23" s="4"/>
      <c r="M23" s="4"/>
      <c r="N23" s="4"/>
      <c r="O23" s="4" t="str">
        <f t="shared" si="0"/>
        <v>NOT EXECUTED</v>
      </c>
      <c r="P23" s="4"/>
      <c r="Q23" s="4"/>
      <c r="R23" s="4"/>
    </row>
    <row r="24" spans="1:18" ht="30" x14ac:dyDescent="0.25">
      <c r="A24" s="4" t="s">
        <v>97</v>
      </c>
      <c r="B24" s="4" t="s">
        <v>87</v>
      </c>
      <c r="C24" s="4" t="s">
        <v>98</v>
      </c>
      <c r="D24" s="4" t="s">
        <v>66</v>
      </c>
      <c r="E24" s="4"/>
      <c r="F24" s="9" t="s">
        <v>135</v>
      </c>
      <c r="G24" s="4"/>
      <c r="H24" s="9" t="s">
        <v>155</v>
      </c>
      <c r="I24" s="4"/>
      <c r="J24" s="4"/>
      <c r="K24" s="4"/>
      <c r="L24" s="4"/>
      <c r="M24" s="4"/>
      <c r="N24" s="4"/>
      <c r="O24" s="4" t="str">
        <f t="shared" si="0"/>
        <v>NOT EXECUTED</v>
      </c>
      <c r="P24" s="4"/>
      <c r="Q24" s="4"/>
      <c r="R24" s="4"/>
    </row>
    <row r="25" spans="1:18" ht="30" x14ac:dyDescent="0.25">
      <c r="A25" s="4" t="s">
        <v>124</v>
      </c>
      <c r="B25" s="4" t="s">
        <v>87</v>
      </c>
      <c r="C25" s="4" t="s">
        <v>123</v>
      </c>
      <c r="D25" s="4" t="s">
        <v>66</v>
      </c>
      <c r="E25" s="4"/>
      <c r="F25" s="9" t="s">
        <v>153</v>
      </c>
      <c r="G25" s="4"/>
      <c r="H25" s="9" t="s">
        <v>154</v>
      </c>
      <c r="I25" s="4"/>
      <c r="J25" s="4"/>
      <c r="K25" s="4"/>
      <c r="L25" s="4"/>
      <c r="M25" s="4"/>
      <c r="N25" s="4"/>
      <c r="O25" s="4" t="s">
        <v>168</v>
      </c>
      <c r="P25" s="4"/>
      <c r="Q25" s="4"/>
      <c r="R25" s="4"/>
    </row>
    <row r="26" spans="1:18" s="12" customFormat="1" ht="30" x14ac:dyDescent="0.25">
      <c r="A26" s="11"/>
      <c r="B26" s="11"/>
      <c r="C26" s="11" t="s">
        <v>138</v>
      </c>
      <c r="D26" s="11" t="s">
        <v>66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 t="s">
        <v>168</v>
      </c>
      <c r="P26" s="11"/>
      <c r="Q26" s="11"/>
      <c r="R26" s="11" t="s">
        <v>167</v>
      </c>
    </row>
    <row r="27" spans="1:18" s="12" customFormat="1" ht="30" x14ac:dyDescent="0.25">
      <c r="A27" s="11"/>
      <c r="B27" s="11"/>
      <c r="C27" s="11" t="s">
        <v>158</v>
      </c>
      <c r="D27" s="11" t="s">
        <v>66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 t="s">
        <v>168</v>
      </c>
      <c r="P27" s="11"/>
      <c r="Q27" s="11"/>
      <c r="R27" s="11" t="s">
        <v>167</v>
      </c>
    </row>
    <row r="28" spans="1:18" s="8" customFormat="1" ht="30" x14ac:dyDescent="0.25">
      <c r="A28" s="4"/>
      <c r="B28" s="4"/>
      <c r="C28" s="4" t="s">
        <v>142</v>
      </c>
      <c r="D28" s="4" t="s">
        <v>66</v>
      </c>
      <c r="E28" s="4"/>
      <c r="F28" s="9" t="s">
        <v>147</v>
      </c>
      <c r="G28" s="4"/>
      <c r="H28" s="9" t="s">
        <v>148</v>
      </c>
      <c r="I28" s="4"/>
      <c r="J28" s="4"/>
      <c r="K28" s="4"/>
      <c r="L28" s="4"/>
      <c r="M28" s="4"/>
      <c r="N28" s="4"/>
      <c r="O28" s="4" t="s">
        <v>168</v>
      </c>
      <c r="P28" s="4"/>
      <c r="Q28" s="4"/>
      <c r="R28" s="4"/>
    </row>
    <row r="29" spans="1:18" s="12" customFormat="1" ht="30" x14ac:dyDescent="0.25">
      <c r="A29" s="11"/>
      <c r="B29" s="11"/>
      <c r="C29" s="11" t="s">
        <v>143</v>
      </c>
      <c r="D29" s="11" t="s">
        <v>66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 t="s">
        <v>168</v>
      </c>
      <c r="P29" s="11"/>
      <c r="Q29" s="11"/>
      <c r="R29" s="11" t="s">
        <v>167</v>
      </c>
    </row>
    <row r="30" spans="1:18" s="14" customFormat="1" x14ac:dyDescent="0.25">
      <c r="A30" s="13"/>
      <c r="B30" s="13" t="s">
        <v>100</v>
      </c>
      <c r="C30" s="13" t="s">
        <v>101</v>
      </c>
      <c r="D30" s="13" t="s">
        <v>71</v>
      </c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18" x14ac:dyDescent="0.25">
      <c r="A31" s="4" t="s">
        <v>99</v>
      </c>
      <c r="B31" s="4" t="s">
        <v>100</v>
      </c>
      <c r="C31" s="4" t="s">
        <v>101</v>
      </c>
      <c r="D31" s="4" t="s">
        <v>71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 t="str">
        <f t="shared" ref="O31:O42" si="1">IF(COUNTIF(K31:N31,"FAIL")&gt;0,"FAIL",IF(COUNTIF(K31:N31,"BLOCKED")&gt;0,"BLOCKED",IF(COUNTIF(K31:N31,"NOT EXECUTED")&gt;0,"NOT EXECUTED",IF(COUNTA(K31:N31)=0,"NOT EXECUTED",IF(COUNTIF(K31:N31,"PASS")+COUNTIF(K31:N31,"SUCCESS")+COUNTIF(K31:N31,"UPDATED")&gt;=4,"PASS","PENDING")))))</f>
        <v>NOT EXECUTED</v>
      </c>
      <c r="P31" s="4"/>
      <c r="Q31" s="4"/>
      <c r="R31" s="4"/>
    </row>
    <row r="32" spans="1:18" ht="30" x14ac:dyDescent="0.25">
      <c r="A32" s="4" t="s">
        <v>102</v>
      </c>
      <c r="B32" s="4" t="s">
        <v>100</v>
      </c>
      <c r="C32" s="4" t="s">
        <v>112</v>
      </c>
      <c r="D32" s="4" t="s">
        <v>71</v>
      </c>
      <c r="E32" s="4"/>
      <c r="F32" s="9" t="s">
        <v>173</v>
      </c>
      <c r="G32" s="4"/>
      <c r="H32" s="9" t="s">
        <v>174</v>
      </c>
      <c r="I32" s="4"/>
      <c r="J32" s="4"/>
      <c r="K32" s="4"/>
      <c r="L32" s="4"/>
      <c r="M32" s="4"/>
      <c r="N32" s="4"/>
      <c r="O32" s="4" t="str">
        <f t="shared" si="1"/>
        <v>NOT EXECUTED</v>
      </c>
      <c r="P32" s="4"/>
      <c r="Q32" s="4"/>
      <c r="R32" s="4"/>
    </row>
    <row r="33" spans="1:18" ht="30" x14ac:dyDescent="0.25">
      <c r="A33" s="4" t="s">
        <v>103</v>
      </c>
      <c r="B33" s="4" t="s">
        <v>100</v>
      </c>
      <c r="C33" s="4" t="s">
        <v>113</v>
      </c>
      <c r="D33" s="4" t="s">
        <v>71</v>
      </c>
      <c r="E33" s="4"/>
      <c r="F33" s="9" t="s">
        <v>175</v>
      </c>
      <c r="G33" s="4"/>
      <c r="H33" s="9" t="s">
        <v>176</v>
      </c>
      <c r="I33" s="4"/>
      <c r="J33" s="4"/>
      <c r="K33" s="4"/>
      <c r="L33" s="4"/>
      <c r="M33" s="4"/>
      <c r="N33" s="4"/>
      <c r="O33" s="4" t="str">
        <f t="shared" si="1"/>
        <v>NOT EXECUTED</v>
      </c>
      <c r="P33" s="4"/>
      <c r="Q33" s="4"/>
      <c r="R33" s="4"/>
    </row>
    <row r="34" spans="1:18" ht="30" x14ac:dyDescent="0.25">
      <c r="A34" s="4" t="s">
        <v>104</v>
      </c>
      <c r="B34" s="4" t="s">
        <v>100</v>
      </c>
      <c r="C34" s="4" t="s">
        <v>114</v>
      </c>
      <c r="D34" s="4" t="s">
        <v>71</v>
      </c>
      <c r="E34" s="4"/>
      <c r="F34" s="9" t="s">
        <v>140</v>
      </c>
      <c r="G34" s="4"/>
      <c r="H34" s="9" t="s">
        <v>177</v>
      </c>
      <c r="I34" s="4"/>
      <c r="J34" s="4"/>
      <c r="K34" s="4"/>
      <c r="L34" s="4"/>
      <c r="M34" s="4"/>
      <c r="N34" s="4"/>
      <c r="O34" s="4" t="str">
        <f t="shared" si="1"/>
        <v>NOT EXECUTED</v>
      </c>
      <c r="P34" s="4"/>
      <c r="Q34" s="4"/>
      <c r="R34" s="4"/>
    </row>
    <row r="35" spans="1:18" ht="30" x14ac:dyDescent="0.25">
      <c r="A35" s="4" t="s">
        <v>118</v>
      </c>
      <c r="B35" s="4" t="s">
        <v>100</v>
      </c>
      <c r="C35" s="4" t="s">
        <v>115</v>
      </c>
      <c r="D35" s="4" t="s">
        <v>71</v>
      </c>
      <c r="E35" s="4"/>
      <c r="F35" s="9" t="s">
        <v>178</v>
      </c>
      <c r="G35" s="4"/>
      <c r="H35" s="9" t="s">
        <v>179</v>
      </c>
      <c r="I35" s="4"/>
      <c r="J35" s="4"/>
      <c r="K35" s="4"/>
      <c r="L35" s="4"/>
      <c r="M35" s="4"/>
      <c r="N35" s="4"/>
      <c r="O35" s="4" t="str">
        <f t="shared" si="1"/>
        <v>NOT EXECUTED</v>
      </c>
      <c r="P35" s="4"/>
      <c r="Q35" s="4"/>
      <c r="R35" s="4"/>
    </row>
    <row r="36" spans="1:18" ht="30" x14ac:dyDescent="0.25">
      <c r="A36" s="4" t="s">
        <v>119</v>
      </c>
      <c r="B36" s="4" t="s">
        <v>100</v>
      </c>
      <c r="C36" s="4" t="s">
        <v>116</v>
      </c>
      <c r="D36" s="4" t="s">
        <v>71</v>
      </c>
      <c r="E36" s="4"/>
      <c r="F36" s="9" t="s">
        <v>135</v>
      </c>
      <c r="G36" s="4"/>
      <c r="H36" s="9" t="s">
        <v>180</v>
      </c>
      <c r="I36" s="4"/>
      <c r="J36" s="4"/>
      <c r="K36" s="4"/>
      <c r="L36" s="4"/>
      <c r="M36" s="4"/>
      <c r="N36" s="4"/>
      <c r="O36" s="4" t="str">
        <f t="shared" si="1"/>
        <v>NOT EXECUTED</v>
      </c>
      <c r="P36" s="4"/>
      <c r="Q36" s="4"/>
      <c r="R36" s="4"/>
    </row>
    <row r="37" spans="1:18" ht="30" x14ac:dyDescent="0.25">
      <c r="A37" s="4" t="s">
        <v>120</v>
      </c>
      <c r="B37" s="4" t="s">
        <v>100</v>
      </c>
      <c r="C37" s="4" t="s">
        <v>117</v>
      </c>
      <c r="D37" s="4" t="s">
        <v>71</v>
      </c>
      <c r="E37" s="4"/>
      <c r="F37" s="9" t="s">
        <v>181</v>
      </c>
      <c r="G37" s="4"/>
      <c r="H37" s="9" t="s">
        <v>182</v>
      </c>
      <c r="I37" s="4"/>
      <c r="J37" s="4"/>
      <c r="K37" s="4"/>
      <c r="L37" s="4"/>
      <c r="M37" s="4"/>
      <c r="N37" s="4"/>
      <c r="O37" s="4" t="str">
        <f t="shared" si="1"/>
        <v>NOT EXECUTED</v>
      </c>
      <c r="P37" s="4"/>
      <c r="Q37" s="4"/>
      <c r="R37" s="4"/>
    </row>
    <row r="38" spans="1:18" ht="30" x14ac:dyDescent="0.25">
      <c r="A38" s="4" t="s">
        <v>121</v>
      </c>
      <c r="B38" s="4" t="s">
        <v>100</v>
      </c>
      <c r="C38" s="4" t="s">
        <v>122</v>
      </c>
      <c r="D38" s="4" t="s">
        <v>71</v>
      </c>
      <c r="E38" s="4"/>
      <c r="F38" s="9" t="s">
        <v>181</v>
      </c>
      <c r="G38" s="4"/>
      <c r="H38" s="9" t="s">
        <v>183</v>
      </c>
      <c r="I38" s="4"/>
      <c r="J38" s="4"/>
      <c r="K38" s="4"/>
      <c r="L38" s="4"/>
      <c r="M38" s="4"/>
      <c r="N38" s="4"/>
      <c r="O38" s="4" t="str">
        <f t="shared" si="1"/>
        <v>NOT EXECUTED</v>
      </c>
      <c r="P38" s="4"/>
      <c r="Q38" s="4"/>
      <c r="R38" s="4"/>
    </row>
    <row r="39" spans="1:18" s="12" customFormat="1" ht="30" x14ac:dyDescent="0.25">
      <c r="A39" s="11"/>
      <c r="B39" s="11" t="s">
        <v>100</v>
      </c>
      <c r="C39" s="11" t="s">
        <v>169</v>
      </c>
      <c r="D39" s="11" t="s">
        <v>71</v>
      </c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 t="str">
        <f t="shared" si="1"/>
        <v>NOT EXECUTED</v>
      </c>
      <c r="P39" s="11"/>
      <c r="Q39" s="11"/>
      <c r="R39" s="11" t="s">
        <v>167</v>
      </c>
    </row>
    <row r="40" spans="1:18" s="12" customFormat="1" ht="30" x14ac:dyDescent="0.25">
      <c r="A40" s="11"/>
      <c r="B40" s="11" t="s">
        <v>100</v>
      </c>
      <c r="C40" s="11" t="s">
        <v>170</v>
      </c>
      <c r="D40" s="11" t="s">
        <v>71</v>
      </c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 t="str">
        <f t="shared" si="1"/>
        <v>NOT EXECUTED</v>
      </c>
      <c r="P40" s="11"/>
      <c r="Q40" s="11"/>
      <c r="R40" s="11" t="s">
        <v>167</v>
      </c>
    </row>
    <row r="41" spans="1:18" ht="30" x14ac:dyDescent="0.25">
      <c r="A41" s="4"/>
      <c r="B41" s="4" t="s">
        <v>100</v>
      </c>
      <c r="C41" s="4" t="s">
        <v>171</v>
      </c>
      <c r="D41" s="4" t="s">
        <v>71</v>
      </c>
      <c r="E41" s="4"/>
      <c r="F41" s="9" t="s">
        <v>184</v>
      </c>
      <c r="G41" s="4"/>
      <c r="H41" s="9" t="s">
        <v>185</v>
      </c>
      <c r="I41" s="4"/>
      <c r="J41" s="4"/>
      <c r="K41" s="4"/>
      <c r="L41" s="4"/>
      <c r="M41" s="4"/>
      <c r="N41" s="4"/>
      <c r="O41" s="4" t="str">
        <f t="shared" si="1"/>
        <v>NOT EXECUTED</v>
      </c>
      <c r="P41" s="4"/>
      <c r="Q41" s="4"/>
      <c r="R41" s="4"/>
    </row>
    <row r="42" spans="1:18" s="12" customFormat="1" ht="30" x14ac:dyDescent="0.25">
      <c r="A42" s="11"/>
      <c r="B42" s="11" t="s">
        <v>100</v>
      </c>
      <c r="C42" s="11" t="s">
        <v>172</v>
      </c>
      <c r="D42" s="11" t="s">
        <v>71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 t="str">
        <f t="shared" si="1"/>
        <v>NOT EXECUTED</v>
      </c>
      <c r="P42" s="11"/>
      <c r="Q42" s="11"/>
      <c r="R42" s="11" t="s">
        <v>167</v>
      </c>
    </row>
  </sheetData>
  <autoFilter ref="A7:R42"/>
  <mergeCells count="5">
    <mergeCell ref="A1:R1"/>
    <mergeCell ref="B4:F4"/>
    <mergeCell ref="B2:F2"/>
    <mergeCell ref="B3:F3"/>
    <mergeCell ref="B5:F5"/>
  </mergeCells>
  <phoneticPr fontId="5" type="noConversion"/>
  <conditionalFormatting sqref="O8:O42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"BLOCKED"</formula>
    </cfRule>
  </conditionalFormatting>
  <dataValidations count="3">
    <dataValidation type="list" allowBlank="1" sqref="O8:O42">
      <formula1>"PASS,FAIL,BLOCKED,NOT EXECUTED,PENDING"</formula1>
    </dataValidation>
    <dataValidation type="list" allowBlank="1" sqref="D8:D42">
      <formula1>"People’s Bank,Visa,Mastercard,Other Bank,Cardless,JCB,NA"</formula1>
    </dataValidation>
    <dataValidation type="list" allowBlank="1" sqref="K8:N42">
      <formula1>"SUCCESS,FAIL,BLOCKED,NOT EXECUTED,UPDATED,NA"</formula1>
    </dataValidation>
  </dataValidations>
  <pageMargins left="0.75" right="0.75" top="1" bottom="1" header="0.5" footer="0.5"/>
  <pageSetup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topLeftCell="A10" workbookViewId="0">
      <selection activeCell="J17" sqref="J17"/>
    </sheetView>
  </sheetViews>
  <sheetFormatPr defaultRowHeight="15" x14ac:dyDescent="0.25"/>
  <cols>
    <col min="1" max="1" width="28" customWidth="1"/>
    <col min="2" max="5" width="15" customWidth="1"/>
    <col min="6" max="6" width="18" customWidth="1"/>
  </cols>
  <sheetData>
    <row r="1" spans="1:8" ht="27.95" customHeight="1" x14ac:dyDescent="0.35">
      <c r="A1" s="24" t="s">
        <v>105</v>
      </c>
      <c r="B1" s="23"/>
      <c r="C1" s="23"/>
      <c r="D1" s="23"/>
      <c r="E1" s="23"/>
      <c r="F1" s="23"/>
      <c r="G1" s="23"/>
      <c r="H1" s="23"/>
    </row>
    <row r="3" spans="1:8" x14ac:dyDescent="0.25">
      <c r="A3" s="5" t="s">
        <v>1</v>
      </c>
      <c r="B3" s="2" t="str">
        <f>'Execution Report'!B2</f>
        <v>Hitachi CRM – Pre-Prod</v>
      </c>
    </row>
    <row r="4" spans="1:8" x14ac:dyDescent="0.25">
      <c r="A4" s="5" t="s">
        <v>5</v>
      </c>
      <c r="B4" s="2" t="str">
        <f>'Execution Report'!B3</f>
        <v>24/09/2026</v>
      </c>
    </row>
    <row r="5" spans="1:8" x14ac:dyDescent="0.25">
      <c r="A5" s="5" t="s">
        <v>6</v>
      </c>
      <c r="B5" s="2" t="str">
        <f>'Execution Report'!B4</f>
        <v>Team Channel</v>
      </c>
    </row>
    <row r="6" spans="1:8" x14ac:dyDescent="0.25">
      <c r="A6" s="5" t="s">
        <v>106</v>
      </c>
      <c r="B6" s="2">
        <f>COUNTA('Execution Report'!A8:A42)</f>
        <v>24</v>
      </c>
    </row>
    <row r="7" spans="1:8" x14ac:dyDescent="0.25">
      <c r="A7" s="5" t="s">
        <v>53</v>
      </c>
      <c r="B7" s="2">
        <f>COUNTIF('Execution Report'!O8:O42,"PASS")</f>
        <v>0</v>
      </c>
    </row>
    <row r="8" spans="1:8" x14ac:dyDescent="0.25">
      <c r="A8" s="5" t="s">
        <v>54</v>
      </c>
      <c r="B8" s="2">
        <f>COUNTIF('Execution Report'!O8:O42,"FAIL")</f>
        <v>1</v>
      </c>
    </row>
    <row r="9" spans="1:8" x14ac:dyDescent="0.25">
      <c r="A9" s="5" t="s">
        <v>55</v>
      </c>
      <c r="B9" s="2">
        <f>COUNTIF('Execution Report'!O8:O42,"BLOCKED")</f>
        <v>0</v>
      </c>
    </row>
    <row r="10" spans="1:8" x14ac:dyDescent="0.25">
      <c r="A10" s="5" t="s">
        <v>56</v>
      </c>
      <c r="B10" s="2">
        <f>COUNTIF('Execution Report'!O8:O42,"NOT EXECUTED")</f>
        <v>31</v>
      </c>
    </row>
    <row r="11" spans="1:8" x14ac:dyDescent="0.25">
      <c r="A11" s="5" t="s">
        <v>107</v>
      </c>
      <c r="B11" s="2">
        <f>COUNTIF('Execution Report'!O8:O42,"PENDING")</f>
        <v>0</v>
      </c>
    </row>
    <row r="12" spans="1:8" x14ac:dyDescent="0.25">
      <c r="A12" s="5" t="s">
        <v>108</v>
      </c>
      <c r="B12" s="6" t="e">
        <f>IF(B4=0,0,(B5+B6+B7+B8)/B4)</f>
        <v>#VALUE!</v>
      </c>
    </row>
    <row r="13" spans="1:8" x14ac:dyDescent="0.25">
      <c r="A13" s="5" t="s">
        <v>109</v>
      </c>
      <c r="B13" s="6" t="e">
        <f>IF((B5+B6)=0,0,B5/(B5+B6))</f>
        <v>#VALUE!</v>
      </c>
    </row>
    <row r="16" spans="1:8" x14ac:dyDescent="0.25">
      <c r="A16" s="25" t="s">
        <v>110</v>
      </c>
      <c r="B16" s="23"/>
      <c r="C16" s="23"/>
      <c r="D16" s="23"/>
      <c r="E16" s="23"/>
      <c r="F16" s="23"/>
    </row>
    <row r="17" spans="1:6" x14ac:dyDescent="0.25">
      <c r="A17" s="7" t="s">
        <v>111</v>
      </c>
      <c r="B17" s="7" t="s">
        <v>52</v>
      </c>
      <c r="C17" s="7" t="s">
        <v>53</v>
      </c>
      <c r="D17" s="7" t="s">
        <v>54</v>
      </c>
      <c r="E17" s="7" t="s">
        <v>55</v>
      </c>
      <c r="F17" s="7" t="s">
        <v>56</v>
      </c>
    </row>
    <row r="18" spans="1:6" x14ac:dyDescent="0.25">
      <c r="A18" s="2" t="s">
        <v>65</v>
      </c>
      <c r="B18" s="2">
        <f>COUNTIF('Execution Report'!B8:B42,A18)</f>
        <v>0</v>
      </c>
      <c r="C18" s="2">
        <f>COUNTIFS('Execution Report'!B8:B42,A18,'Execution Report'!O8:O42,"PASS")</f>
        <v>0</v>
      </c>
      <c r="D18" s="2">
        <f>COUNTIFS('Execution Report'!B8:B42,A18,'Execution Report'!O8:O42,"FAIL")</f>
        <v>0</v>
      </c>
      <c r="E18" s="2">
        <f>COUNTIFS('Execution Report'!B8:B42,A18,'Execution Report'!O8:O42,"BLOCKED")</f>
        <v>0</v>
      </c>
      <c r="F18" s="2">
        <f>COUNTIFS('Execution Report'!B8:B42,A18,'Execution Report'!O8:O42,"NOT EXECUTED")</f>
        <v>0</v>
      </c>
    </row>
    <row r="19" spans="1:6" x14ac:dyDescent="0.25">
      <c r="A19" s="2" t="s">
        <v>68</v>
      </c>
      <c r="B19" s="2">
        <f>COUNTIF('Execution Report'!B8:B42,A19)</f>
        <v>2</v>
      </c>
      <c r="C19" s="2">
        <f>COUNTIFS('Execution Report'!B8:B42,A19,'Execution Report'!O8:O42,"PASS")</f>
        <v>0</v>
      </c>
      <c r="D19" s="2">
        <f>COUNTIFS('Execution Report'!B8:B42,A19,'Execution Report'!O8:O42,"FAIL")</f>
        <v>0</v>
      </c>
      <c r="E19" s="2">
        <f>COUNTIFS('Execution Report'!B8:B42,A19,'Execution Report'!O8:O42,"BLOCKED")</f>
        <v>0</v>
      </c>
      <c r="F19" s="2">
        <f>COUNTIFS('Execution Report'!B8:B42,A19,'Execution Report'!O8:O42,"NOT EXECUTED")</f>
        <v>2</v>
      </c>
    </row>
    <row r="20" spans="1:6" x14ac:dyDescent="0.25">
      <c r="A20" s="2" t="s">
        <v>73</v>
      </c>
      <c r="B20" s="2">
        <f>COUNTIF('Execution Report'!B8:B42,A20)</f>
        <v>2</v>
      </c>
      <c r="C20" s="2">
        <f>COUNTIFS('Execution Report'!B8:B42,A20,'Execution Report'!O8:O42,"PASS")</f>
        <v>0</v>
      </c>
      <c r="D20" s="2">
        <f>COUNTIFS('Execution Report'!B8:B42,A20,'Execution Report'!O8:O42,"FAIL")</f>
        <v>1</v>
      </c>
      <c r="E20" s="2">
        <f>COUNTIFS('Execution Report'!B8:B42,A20,'Execution Report'!O8:O42,"BLOCKED")</f>
        <v>0</v>
      </c>
      <c r="F20" s="2">
        <f>COUNTIFS('Execution Report'!B8:B42,A20,'Execution Report'!O8:O42,"NOT EXECUTED")</f>
        <v>1</v>
      </c>
    </row>
    <row r="21" spans="1:6" x14ac:dyDescent="0.25">
      <c r="A21" s="2" t="s">
        <v>77</v>
      </c>
      <c r="B21" s="2">
        <f>COUNTIF('Execution Report'!B8:B42,A21)</f>
        <v>2</v>
      </c>
      <c r="C21" s="2">
        <f>COUNTIFS('Execution Report'!B8:B42,A21,'Execution Report'!O8:O42,"PASS")</f>
        <v>0</v>
      </c>
      <c r="D21" s="2">
        <f>COUNTIFS('Execution Report'!B8:B42,A21,'Execution Report'!O8:O42,"FAIL")</f>
        <v>0</v>
      </c>
      <c r="E21" s="2">
        <f>COUNTIFS('Execution Report'!B8:B42,A21,'Execution Report'!O8:O42,"BLOCKED")</f>
        <v>0</v>
      </c>
      <c r="F21" s="2">
        <f>COUNTIFS('Execution Report'!B8:B42,A21,'Execution Report'!O8:O42,"NOT EXECUTED")</f>
        <v>2</v>
      </c>
    </row>
    <row r="22" spans="1:6" x14ac:dyDescent="0.25">
      <c r="A22" s="2" t="s">
        <v>82</v>
      </c>
      <c r="B22" s="2">
        <f>COUNTIF('Execution Report'!B8:B42,A22)</f>
        <v>3</v>
      </c>
      <c r="C22" s="2">
        <f>COUNTIFS('Execution Report'!B8:B42,A22,'Execution Report'!O8:O42,"PASS")</f>
        <v>0</v>
      </c>
      <c r="D22" s="2">
        <f>COUNTIFS('Execution Report'!B8:B42,A22,'Execution Report'!O8:O42,"FAIL")</f>
        <v>0</v>
      </c>
      <c r="E22" s="2">
        <f>COUNTIFS('Execution Report'!B8:B42,A22,'Execution Report'!O8:O42,"BLOCKED")</f>
        <v>0</v>
      </c>
      <c r="F22" s="2">
        <f>COUNTIFS('Execution Report'!B8:B42,A22,'Execution Report'!O8:O42,"NOT EXECUTED")</f>
        <v>2</v>
      </c>
    </row>
    <row r="23" spans="1:6" x14ac:dyDescent="0.25">
      <c r="A23" s="2" t="s">
        <v>85</v>
      </c>
      <c r="B23" s="2">
        <f>COUNTIF('Execution Report'!B8:B42,A23)</f>
        <v>1</v>
      </c>
      <c r="C23" s="2">
        <f>COUNTIFS('Execution Report'!B8:B42,A23,'Execution Report'!O8:O42,"PASS")</f>
        <v>0</v>
      </c>
      <c r="D23" s="2">
        <f>COUNTIFS('Execution Report'!B8:B42,A23,'Execution Report'!O8:O42,"FAIL")</f>
        <v>0</v>
      </c>
      <c r="E23" s="2">
        <f>COUNTIFS('Execution Report'!B8:B42,A23,'Execution Report'!O8:O42,"BLOCKED")</f>
        <v>0</v>
      </c>
      <c r="F23" s="2">
        <f>COUNTIFS('Execution Report'!B8:B42,A23,'Execution Report'!O8:O42,"NOT EXECUTED")</f>
        <v>1</v>
      </c>
    </row>
    <row r="24" spans="1:6" x14ac:dyDescent="0.25">
      <c r="A24" s="2" t="s">
        <v>87</v>
      </c>
      <c r="B24" s="2">
        <f>COUNTIF('Execution Report'!B8:B42,A24)</f>
        <v>7</v>
      </c>
      <c r="C24" s="2">
        <f>COUNTIFS('Execution Report'!B8:B42,A24,'Execution Report'!O8:O42,"PASS")</f>
        <v>0</v>
      </c>
      <c r="D24" s="2">
        <f>COUNTIFS('Execution Report'!B8:B42,A24,'Execution Report'!O8:O42,"FAIL")</f>
        <v>0</v>
      </c>
      <c r="E24" s="2">
        <f>COUNTIFS('Execution Report'!B8:B42,A24,'Execution Report'!O8:O42,"BLOCKED")</f>
        <v>0</v>
      </c>
      <c r="F24" s="2">
        <f>COUNTIFS('Execution Report'!B8:B42,A24,'Execution Report'!O8:O42,"NOT EXECUTED")</f>
        <v>7</v>
      </c>
    </row>
    <row r="25" spans="1:6" x14ac:dyDescent="0.25">
      <c r="A25" s="2" t="s">
        <v>100</v>
      </c>
      <c r="B25" s="2">
        <f>COUNTIF('Execution Report'!B8:B42,A25)</f>
        <v>13</v>
      </c>
      <c r="C25" s="2">
        <f>COUNTIFS('Execution Report'!B8:B42,A25,'Execution Report'!O8:O42,"PASS")</f>
        <v>0</v>
      </c>
      <c r="D25" s="2">
        <f>COUNTIFS('Execution Report'!B8:B42,A25,'Execution Report'!O8:O42,"FAIL")</f>
        <v>0</v>
      </c>
      <c r="E25" s="2">
        <f>COUNTIFS('Execution Report'!B8:B42,A25,'Execution Report'!O8:O42,"BLOCKED")</f>
        <v>0</v>
      </c>
      <c r="F25" s="2">
        <f>COUNTIFS('Execution Report'!B8:B42,A25,'Execution Report'!O8:O42,"NOT EXECUTED")</f>
        <v>12</v>
      </c>
    </row>
  </sheetData>
  <mergeCells count="2">
    <mergeCell ref="A16:F16"/>
    <mergeCell ref="A1:H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Withdrawal - Card Matrix</vt:lpstr>
      <vt:lpstr>Withdrawal Summary</vt:lpstr>
      <vt:lpstr>Execution Report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metro eye</cp:lastModifiedBy>
  <dcterms:created xsi:type="dcterms:W3CDTF">2026-09-21T15:07:20Z</dcterms:created>
  <dcterms:modified xsi:type="dcterms:W3CDTF">2026-09-24T13:15:41Z</dcterms:modified>
</cp:coreProperties>
</file>