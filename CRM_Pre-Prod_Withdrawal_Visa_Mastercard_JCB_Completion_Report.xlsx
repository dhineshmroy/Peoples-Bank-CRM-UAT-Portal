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Withdrawal - Card Matrix" sheetId="2" r:id="rId6"/>
    <sheet name="Withdrawal Summary" sheetId="3" r:id="rId7"/>
    <sheet name="Execution Report" sheetId="4" r:id="rId8"/>
    <sheet name="Summary" sheetId="5" r:id="rId9"/>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<sst xmlns="http://schemas.openxmlformats.org/spreadsheetml/2006/main" uniqueCount="202">
  <si>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</si>
  <si>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</si>
  <si>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</si>
  <si>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</si>
  <si>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</si>
  <si>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</si>
  <si>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Withdrawal - Card Matrix</t>
  </si>
  <si>
    <r>
      <rPr>
        <u val="single"/>
        <sz val="12"/>
        <color indexed="11"/>
        <rFont val="Calibri"/>
      </rPr>
      <t>Withdrawal - Card Matrix</t>
    </r>
  </si>
  <si>
    <t>Withdrawal Summary</t>
  </si>
  <si>
    <r>
      <rPr>
        <u val="single"/>
        <sz val="12"/>
        <color indexed="11"/>
        <rFont val="Calibri"/>
      </rPr>
      <t>Withdrawal Summary</t>
    </r>
  </si>
  <si>
    <t>Execution Report</t>
  </si>
  <si>
    <r>
      <rPr>
        <u val="single"/>
        <sz val="12"/>
        <color indexed="11"/>
        <rFont val="Calibri"/>
      </rPr>
      <t>Execution Report</t>
    </r>
  </si>
  <si>
    <t>Summary</t>
  </si>
  <si>
    <r>
      <rPr>
        <u val="single"/>
        <sz val="12"/>
        <color indexed="11"/>
        <rFont val="Calibri"/>
      </rPr>
      <t>Summary</t>
    </r>
  </si>
  <si>
    <t>CRM PRE-PROD – WITHDRAWAL COMPLETION REPORT | VISA / MASTERCARD / JCB</t>
  </si>
  <si>
    <t>Environment</t>
  </si>
  <si>
    <t>Hitachi CRM – Pre-Prod</t>
  </si>
  <si>
    <t>Transaction Type</t>
  </si>
  <si>
    <t>Cash Withdrawal</t>
  </si>
  <si>
    <t>Execution Date</t>
  </si>
  <si>
    <t>24/09/2026</t>
  </si>
  <si>
    <t>Tester</t>
  </si>
  <si>
    <t>Team Channel</t>
  </si>
  <si>
    <t>Scope</t>
  </si>
  <si>
    <t>Visa, Mastercard and JCB card-based withdrawal transactions</t>
  </si>
  <si>
    <t>TC ID</t>
  </si>
  <si>
    <t>Card Scheme</t>
  </si>
  <si>
    <t>Card Type</t>
  </si>
  <si>
    <t>Issuing Bank</t>
  </si>
  <si>
    <t>Account Type</t>
  </si>
  <si>
    <t>Withdrawal Amount</t>
  </si>
  <si>
    <t>ATM / CRM ID</t>
  </si>
  <si>
    <t>Account / Reference No.</t>
  </si>
  <si>
    <t>RRN</t>
  </si>
  <si>
    <t>STAN / UTANO</t>
  </si>
  <si>
    <t>FE Status</t>
  </si>
  <si>
    <t>SIBS / CBS Status</t>
  </si>
  <si>
    <t>Receipt / Output</t>
  </si>
  <si>
    <t>Overall Status</t>
  </si>
  <si>
    <t>Remarks</t>
  </si>
  <si>
    <t>WD-001</t>
  </si>
  <si>
    <t>Visa</t>
  </si>
  <si>
    <t>Debit</t>
  </si>
  <si>
    <t>People's Bank</t>
  </si>
  <si>
    <t>CHK</t>
  </si>
  <si>
    <t>WD-002</t>
  </si>
  <si>
    <t>SA</t>
  </si>
  <si>
    <t>WD-003</t>
  </si>
  <si>
    <t>Mastercard</t>
  </si>
  <si>
    <t>WD-004</t>
  </si>
  <si>
    <t>WD-005</t>
  </si>
  <si>
    <t>JCB</t>
  </si>
  <si>
    <t>WD-006</t>
  </si>
  <si>
    <t>WD-007</t>
  </si>
  <si>
    <t>Credit</t>
  </si>
  <si>
    <t>Credit Card</t>
  </si>
  <si>
    <t>Other Bank</t>
  </si>
  <si>
    <t>Other Bank Account</t>
  </si>
  <si>
    <t>Other Bank Credit</t>
  </si>
  <si>
    <t>WD-008</t>
  </si>
  <si>
    <t>BGP</t>
  </si>
  <si>
    <t>WD-009</t>
  </si>
  <si>
    <t>USD</t>
  </si>
  <si>
    <t>WD-010</t>
  </si>
  <si>
    <t>WD-011</t>
  </si>
  <si>
    <t>WD-012</t>
  </si>
  <si>
    <t>WD-013</t>
  </si>
  <si>
    <t>WD-014</t>
  </si>
  <si>
    <t>WD-015</t>
  </si>
  <si>
    <t>GBP</t>
  </si>
  <si>
    <t>WD-016</t>
  </si>
  <si>
    <t>WD-017</t>
  </si>
  <si>
    <t>WD-018</t>
  </si>
  <si>
    <t>WITHDRAWAL – VISA / MASTERCARD / JCB SUMMARY</t>
  </si>
  <si>
    <t>Total</t>
  </si>
  <si>
    <t>Passed</t>
  </si>
  <si>
    <t>Failed</t>
  </si>
  <si>
    <t>Blocked</t>
  </si>
  <si>
    <t>Not Executed</t>
  </si>
  <si>
    <t>Overall Withdrawal Completion</t>
  </si>
  <si>
    <t>Overall Pass Rate</t>
  </si>
  <si>
    <t>CRM PRE-PROD – ALL TRANSACTIONS COMPLETION REPORT</t>
  </si>
  <si>
    <t>UAT Scope</t>
  </si>
  <si>
    <t>All applicable card-based and cardless CRM transactions</t>
  </si>
  <si>
    <t>Transaction Category</t>
  </si>
  <si>
    <t>Transaction / Test Description</t>
  </si>
  <si>
    <t>Amount</t>
  </si>
  <si>
    <t>Before Balance</t>
  </si>
  <si>
    <t>After Balance</t>
  </si>
  <si>
    <t>Switch Status</t>
  </si>
  <si>
    <t>CB_DEP_001</t>
  </si>
  <si>
    <t>Deposit</t>
  </si>
  <si>
    <t>Cash Deposit – People’s Bank Account(CHK)</t>
  </si>
  <si>
    <t>CB_DEP_002</t>
  </si>
  <si>
    <t>Cash Deposit - People's Bank Account(SA)</t>
  </si>
  <si>
    <t>CB_DEP_003</t>
  </si>
  <si>
    <t>CB_DEP_004</t>
  </si>
  <si>
    <t>CB_DEP_005</t>
  </si>
  <si>
    <t>CB_DEP_006</t>
  </si>
  <si>
    <t>CB_FT_001</t>
  </si>
  <si>
    <t>Fund Transfer</t>
  </si>
  <si>
    <t>Fund Transfer – SA to CHK</t>
  </si>
  <si>
    <t>CB_FT_002</t>
  </si>
  <si>
    <t>Fund Transfer – CHE to SA</t>
  </si>
  <si>
    <t>CB_FT_003</t>
  </si>
  <si>
    <t>CB_FT_004</t>
  </si>
  <si>
    <t>CB_FT_005</t>
  </si>
  <si>
    <t>CB_FT_006</t>
  </si>
  <si>
    <t>CB_BI_001</t>
  </si>
  <si>
    <t>Balance Inquiry</t>
  </si>
  <si>
    <t>Balance Inquiry – People’s Bank Card(SA)</t>
  </si>
  <si>
    <t>CB_BI_002</t>
  </si>
  <si>
    <t>Balance Inquiry – People’s Bank Card(CHK)</t>
  </si>
  <si>
    <t>CB_BI_003</t>
  </si>
  <si>
    <t>CB_BI_004</t>
  </si>
  <si>
    <t>Balance Inquiry – People’s Bank Card</t>
  </si>
  <si>
    <t>CB_MS_001</t>
  </si>
  <si>
    <t>Mini Statement</t>
  </si>
  <si>
    <t>Mini Statement – People’s Bank Card(SA)</t>
  </si>
  <si>
    <t>CB_MS_002</t>
  </si>
  <si>
    <t>Mini Statement – People’s Bank Card(CHK)</t>
  </si>
  <si>
    <t>CB_MS_003</t>
  </si>
  <si>
    <t>CB_MS_004</t>
  </si>
  <si>
    <t>CB_MS_005</t>
  </si>
  <si>
    <t>Mini Statement – People’s Bank Card(GBP)</t>
  </si>
  <si>
    <t>CB_MS_006</t>
  </si>
  <si>
    <t>CB_MS_007</t>
  </si>
  <si>
    <t>CB_MS_008</t>
  </si>
  <si>
    <t>CB_MS_009</t>
  </si>
  <si>
    <t>CB_PIN_001</t>
  </si>
  <si>
    <t>PIN Change</t>
  </si>
  <si>
    <t>CB_PIN_002</t>
  </si>
  <si>
    <t>CB_PIN_003</t>
  </si>
  <si>
    <t>CB_BP_001</t>
  </si>
  <si>
    <t>Bill Payment</t>
  </si>
  <si>
    <t>Bill Payment – Dialog</t>
  </si>
  <si>
    <t>CB_BP_002</t>
  </si>
  <si>
    <t>Bill Payment – Water Board</t>
  </si>
  <si>
    <t>CB_BP_003</t>
  </si>
  <si>
    <t>Bill Payment – CEB</t>
  </si>
  <si>
    <t>CB_BP_004</t>
  </si>
  <si>
    <t>Bill Payment – LECO</t>
  </si>
  <si>
    <t>CB_BP_005</t>
  </si>
  <si>
    <t>Bill Payment – SLT</t>
  </si>
  <si>
    <t>CB_BP_006</t>
  </si>
  <si>
    <t>Bill Payment – Mobitel</t>
  </si>
  <si>
    <t>CB_BP_007</t>
  </si>
  <si>
    <t>Bill Payment – Dialog_TV</t>
  </si>
  <si>
    <t>CB_BP_008</t>
  </si>
  <si>
    <t>Bill Payment - SLIC - Life</t>
  </si>
  <si>
    <t>CB_BP_009</t>
  </si>
  <si>
    <t>Bill Payment - SLIC - General</t>
  </si>
  <si>
    <t>CB_BP_010</t>
  </si>
  <si>
    <t>Bill Payment - PIC</t>
  </si>
  <si>
    <t>CB_BP_011</t>
  </si>
  <si>
    <t>Bill Payment - PLC</t>
  </si>
  <si>
    <t>CB_BP_012</t>
  </si>
  <si>
    <t>CB_BP_013</t>
  </si>
  <si>
    <t>CB_BP_014</t>
  </si>
  <si>
    <t>CB_BP_015</t>
  </si>
  <si>
    <t>CB_BP_016</t>
  </si>
  <si>
    <t>CB_BP_017</t>
  </si>
  <si>
    <t>CB_BP_018</t>
  </si>
  <si>
    <t>CB_BP_019</t>
  </si>
  <si>
    <t>CB_BP_020</t>
  </si>
  <si>
    <t>CB_BP_021</t>
  </si>
  <si>
    <t>CB_BP_022</t>
  </si>
  <si>
    <t>CL_BP_001</t>
  </si>
  <si>
    <t>Cardless Transaction</t>
  </si>
  <si>
    <t>Cardless Deposit</t>
  </si>
  <si>
    <t>Cardless</t>
  </si>
  <si>
    <t>CL_BP_002</t>
  </si>
  <si>
    <t>CL_BP_003</t>
  </si>
  <si>
    <t>Cardless Bill Payment – Dialog</t>
  </si>
  <si>
    <t>CL_BP_004</t>
  </si>
  <si>
    <t>Cardless Bill Payment – Water Board</t>
  </si>
  <si>
    <t>CL_BP_005</t>
  </si>
  <si>
    <t>Cardless Bill Payment – CEB</t>
  </si>
  <si>
    <t>CL_BP_006</t>
  </si>
  <si>
    <t>Cardless Bill Payment – LECO</t>
  </si>
  <si>
    <t>CL_BP_007</t>
  </si>
  <si>
    <t>Cardless Bill Payment – SLT</t>
  </si>
  <si>
    <t>CL_BP_008</t>
  </si>
  <si>
    <t>Cardless Bill Payment – Mobitel</t>
  </si>
  <si>
    <t>CL_BP_009</t>
  </si>
  <si>
    <t>Cardless Bill Payment – Dialog_TV</t>
  </si>
  <si>
    <t>CL_BP_010</t>
  </si>
  <si>
    <t>Cardless Bill Payment - SLIC - Life</t>
  </si>
  <si>
    <t>CL_BP_011</t>
  </si>
  <si>
    <t>Cardless Bill Payment - SLIC - General</t>
  </si>
  <si>
    <t>CL_BP_012</t>
  </si>
  <si>
    <t>Cardless Billl Payment - PIC</t>
  </si>
  <si>
    <t>CL_BP_013</t>
  </si>
  <si>
    <t>Cardless Bill Payment - PLC</t>
  </si>
  <si>
    <t>CRM PRE-PROD – UAT EXECUTION SUMMARY</t>
  </si>
  <si>
    <t>Total Test Cases</t>
  </si>
  <si>
    <t>Pending</t>
  </si>
  <si>
    <t>Completion %</t>
  </si>
  <si>
    <t>Pass Rate %</t>
  </si>
  <si>
    <t>Transaction Category Summary</t>
  </si>
  <si>
    <t>Category</t>
  </si>
  <si>
    <t>Withdrawal</t>
  </si>
</sst>
</file>

<file path=xl/styles.xml><?xml version="1.0" encoding="utf-8"?>
<styleSheet xmlns="http://schemas.openxmlformats.org/spreadsheetml/2006/main">
  <numFmts count="2">
    <numFmt numFmtId="0" formatCode="General"/>
    <numFmt numFmtId="59" formatCode="0.0%"/>
  </numFmts>
  <fonts count="10">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6"/>
      <color indexed="13"/>
      <name val="Calibri"/>
    </font>
    <font>
      <b val="1"/>
      <sz val="11"/>
      <color indexed="8"/>
      <name val="Calibri"/>
    </font>
    <font>
      <b val="1"/>
      <sz val="11"/>
      <color indexed="13"/>
      <name val="Calibri"/>
    </font>
    <font>
      <b val="1"/>
      <sz val="11"/>
      <color indexed="18"/>
      <name val="Calibri"/>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s>
  <borders count="25">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top style="thin">
        <color indexed="12"/>
      </top>
      <bottom style="thin">
        <color indexed="15"/>
      </bottom>
      <diagonal/>
    </border>
    <border>
      <left/>
      <right style="thin">
        <color indexed="12"/>
      </right>
      <top style="thin">
        <color indexed="12"/>
      </top>
      <bottom style="thin">
        <color indexed="15"/>
      </bottom>
      <diagonal/>
    </border>
    <border>
      <left style="thin">
        <color indexed="12"/>
      </left>
      <right style="thin">
        <color indexed="12"/>
      </right>
      <top style="thin">
        <color indexed="12"/>
      </top>
      <bottom style="thin">
        <color indexed="15"/>
      </bottom>
      <diagonal/>
    </border>
    <border>
      <left style="thin">
        <color indexed="12"/>
      </left>
      <right style="thin">
        <color indexed="12"/>
      </right>
      <top style="thin">
        <color indexed="12"/>
      </top>
      <bottom style="thin">
        <color indexed="12"/>
      </bottom>
      <diagonal/>
    </border>
    <border>
      <left style="thin">
        <color indexed="15"/>
      </left>
      <right style="thin">
        <color indexed="15"/>
      </right>
      <top style="thin">
        <color indexed="15"/>
      </top>
      <bottom style="thin">
        <color indexed="15"/>
      </bottom>
      <diagonal/>
    </border>
    <border>
      <left style="thin">
        <color indexed="15"/>
      </left>
      <right style="thin">
        <color indexed="12"/>
      </right>
      <top style="thin">
        <color indexed="15"/>
      </top>
      <bottom style="thin">
        <color indexed="15"/>
      </bottom>
      <diagonal/>
    </border>
    <border>
      <left style="thin">
        <color indexed="12"/>
      </left>
      <right style="thin">
        <color indexed="12"/>
      </right>
      <top style="thin">
        <color indexed="15"/>
      </top>
      <bottom style="thin">
        <color indexed="15"/>
      </bottom>
      <diagonal/>
    </border>
    <border>
      <left style="thin">
        <color indexed="12"/>
      </left>
      <right style="thin">
        <color indexed="15"/>
      </right>
      <top style="thin">
        <color indexed="15"/>
      </top>
      <bottom style="thin">
        <color indexed="15"/>
      </bottom>
      <diagonal/>
    </border>
    <border>
      <left style="thin">
        <color indexed="15"/>
      </left>
      <right style="thin">
        <color indexed="12"/>
      </right>
      <top style="thin">
        <color indexed="12"/>
      </top>
      <bottom style="thin">
        <color indexed="12"/>
      </bottom>
      <diagonal/>
    </border>
    <border>
      <left/>
      <right style="thin">
        <color indexed="12"/>
      </right>
      <top style="thin">
        <color indexed="12"/>
      </top>
      <bottom style="thin">
        <color indexed="12"/>
      </bottom>
      <diagonal/>
    </border>
    <border>
      <left style="thin">
        <color indexed="12"/>
      </left>
      <right style="thin">
        <color indexed="12"/>
      </right>
      <top/>
      <bottom style="thin">
        <color indexed="15"/>
      </bottom>
      <diagonal/>
    </border>
    <border>
      <left style="thin">
        <color indexed="12"/>
      </left>
      <right style="thin">
        <color indexed="12"/>
      </right>
      <top style="thin">
        <color indexed="15"/>
      </top>
      <bottom style="thin">
        <color indexed="12"/>
      </bottom>
      <diagonal/>
    </border>
    <border>
      <left style="thin">
        <color indexed="8"/>
      </left>
      <right style="thin">
        <color indexed="8"/>
      </right>
      <top style="thin">
        <color indexed="8"/>
      </top>
      <bottom style="thin">
        <color indexed="8"/>
      </bottom>
      <diagonal/>
    </border>
    <border>
      <left style="thin">
        <color indexed="12"/>
      </left>
      <right style="thin">
        <color indexed="12"/>
      </right>
      <top style="thin">
        <color indexed="12"/>
      </top>
      <bottom/>
      <diagonal/>
    </border>
    <border>
      <left style="thin">
        <color indexed="12"/>
      </left>
      <right/>
      <top/>
      <bottom style="thin">
        <color indexed="15"/>
      </bottom>
      <diagonal/>
    </border>
  </borders>
  <cellStyleXfs count="1">
    <xf numFmtId="0" fontId="0" applyNumberFormat="0" applyFont="1" applyFill="0" applyBorder="0" applyAlignment="1" applyProtection="0">
      <alignment vertical="bottom"/>
    </xf>
  </cellStyleXfs>
  <cellXfs count="6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1" fillId="4" borderId="5" applyNumberFormat="1" applyFont="1" applyFill="1" applyBorder="1" applyAlignment="1" applyProtection="0">
      <alignment horizontal="left" vertical="bottom" wrapText="1"/>
    </xf>
    <xf numFmtId="49" fontId="2" borderId="5" applyNumberFormat="1" applyFont="1" applyFill="0"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borderId="7" applyNumberFormat="0" applyFont="1" applyFill="0" applyBorder="1" applyAlignment="1" applyProtection="0">
      <alignment vertical="bottom"/>
    </xf>
    <xf numFmtId="0" fontId="1" fillId="3" borderId="8" applyNumberFormat="0" applyFont="1" applyFill="1" applyBorder="1" applyAlignment="1" applyProtection="0">
      <alignment horizontal="left" vertical="bottom"/>
    </xf>
    <xf numFmtId="49" fontId="1" fillId="3" borderId="8" applyNumberFormat="1" applyFont="1" applyFill="1" applyBorder="1" applyAlignment="1" applyProtection="0">
      <alignment horizontal="left" vertical="bottom"/>
    </xf>
    <xf numFmtId="49" fontId="4" fillId="3" borderId="8" applyNumberFormat="1" applyFont="1" applyFill="1" applyBorder="1" applyAlignment="1" applyProtection="0">
      <alignment horizontal="lef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6" fillId="5" borderId="10" applyNumberFormat="1" applyFont="1" applyFill="1" applyBorder="1" applyAlignment="1" applyProtection="0">
      <alignment horizontal="center" vertical="center"/>
    </xf>
    <xf numFmtId="0" fontId="0" fillId="4" borderId="11" applyNumberFormat="0" applyFont="1" applyFill="1" applyBorder="1" applyAlignment="1" applyProtection="0">
      <alignment vertical="bottom"/>
    </xf>
    <xf numFmtId="0" fontId="0" fillId="4" borderId="12" applyNumberFormat="0" applyFont="1" applyFill="1" applyBorder="1" applyAlignment="1" applyProtection="0">
      <alignment vertical="bottom"/>
    </xf>
    <xf numFmtId="0" fontId="0" fillId="4" borderId="13" applyNumberFormat="0" applyFont="1" applyFill="1" applyBorder="1" applyAlignment="1" applyProtection="0">
      <alignment vertical="bottom"/>
    </xf>
    <xf numFmtId="49" fontId="7" fillId="6" borderId="14" applyNumberFormat="1" applyFont="1" applyFill="1" applyBorder="1" applyAlignment="1" applyProtection="0">
      <alignment vertical="bottom"/>
    </xf>
    <xf numFmtId="49" fontId="0" fillId="4" borderId="14" applyNumberFormat="1" applyFont="1" applyFill="1" applyBorder="1" applyAlignment="1" applyProtection="0">
      <alignment vertical="bottom"/>
    </xf>
    <xf numFmtId="0" fontId="0" fillId="4" borderId="15" applyNumberFormat="0" applyFont="1" applyFill="1" applyBorder="1" applyAlignment="1" applyProtection="0">
      <alignment vertical="bottom"/>
    </xf>
    <xf numFmtId="0" fontId="0" fillId="4" borderId="16" applyNumberFormat="0" applyFont="1" applyFill="1" applyBorder="1" applyAlignment="1" applyProtection="0">
      <alignment vertical="bottom"/>
    </xf>
    <xf numFmtId="0" fontId="0" fillId="4" borderId="17" applyNumberFormat="0" applyFont="1" applyFill="1" applyBorder="1" applyAlignment="1" applyProtection="0">
      <alignment vertical="bottom"/>
    </xf>
    <xf numFmtId="0" fontId="0" fillId="4" borderId="18" applyNumberFormat="0" applyFont="1" applyFill="1" applyBorder="1" applyAlignment="1" applyProtection="0">
      <alignment vertical="bottom"/>
    </xf>
    <xf numFmtId="49" fontId="8" fillId="5" borderId="14" applyNumberFormat="1" applyFont="1" applyFill="1" applyBorder="1" applyAlignment="1" applyProtection="0">
      <alignment horizontal="center" vertical="center" wrapText="1"/>
    </xf>
    <xf numFmtId="49" fontId="0" fillId="4" borderId="14" applyNumberFormat="1" applyFont="1" applyFill="1" applyBorder="1" applyAlignment="1" applyProtection="0">
      <alignment vertical="top" wrapText="1"/>
    </xf>
    <xf numFmtId="0" fontId="0" fillId="4" borderId="14" applyNumberFormat="0" applyFont="1" applyFill="1" applyBorder="1" applyAlignment="1" applyProtection="0">
      <alignment vertical="top" wrapText="1"/>
    </xf>
    <xf numFmtId="49" fontId="0" borderId="14" applyNumberFormat="1" applyFont="1" applyFill="0" applyBorder="1" applyAlignment="1" applyProtection="0">
      <alignment vertical="top" wrapText="1"/>
    </xf>
    <xf numFmtId="0" fontId="0" borderId="14" applyNumberFormat="0" applyFont="1" applyFill="0" applyBorder="1" applyAlignment="1" applyProtection="0">
      <alignment vertical="top" wrapText="1"/>
    </xf>
    <xf numFmtId="0" fontId="0" applyNumberFormat="1" applyFont="1" applyFill="0" applyBorder="0" applyAlignment="1" applyProtection="0">
      <alignment vertical="bottom"/>
    </xf>
    <xf numFmtId="49" fontId="6" fillId="5" borderId="1" applyNumberFormat="1" applyFont="1" applyFill="1" applyBorder="1" applyAlignment="1" applyProtection="0">
      <alignment horizontal="center" vertical="bottom"/>
    </xf>
    <xf numFmtId="0" fontId="0" fillId="4" borderId="19" applyNumberFormat="0" applyFont="1" applyFill="1" applyBorder="1" applyAlignment="1" applyProtection="0">
      <alignment vertical="bottom"/>
    </xf>
    <xf numFmtId="0" fontId="0" fillId="4" borderId="20" applyNumberFormat="0" applyFont="1" applyFill="1" applyBorder="1" applyAlignment="1" applyProtection="0">
      <alignment vertical="bottom"/>
    </xf>
    <xf numFmtId="49" fontId="8" fillId="7" borderId="14" applyNumberFormat="1" applyFont="1" applyFill="1" applyBorder="1" applyAlignment="1" applyProtection="0">
      <alignment vertical="bottom"/>
    </xf>
    <xf numFmtId="0" fontId="0" fillId="4" borderId="14" applyNumberFormat="1" applyFont="1" applyFill="1" applyBorder="1" applyAlignment="1" applyProtection="0">
      <alignment vertical="bottom"/>
    </xf>
    <xf numFmtId="0" fontId="0" fillId="4" borderId="21" applyNumberFormat="0" applyFont="1" applyFill="1" applyBorder="1" applyAlignment="1" applyProtection="0">
      <alignment vertical="bottom"/>
    </xf>
    <xf numFmtId="59" fontId="0" fillId="4" borderId="14" applyNumberFormat="1" applyFont="1" applyFill="1" applyBorder="1" applyAlignment="1" applyProtection="0">
      <alignment vertical="bottom"/>
    </xf>
    <xf numFmtId="0" fontId="0" applyNumberFormat="1" applyFont="1" applyFill="0" applyBorder="0" applyAlignment="1" applyProtection="0">
      <alignment vertical="bottom"/>
    </xf>
    <xf numFmtId="49" fontId="6" fillId="5" borderId="22" applyNumberFormat="1" applyFont="1" applyFill="1" applyBorder="1" applyAlignment="1" applyProtection="0">
      <alignment horizontal="center" vertical="center"/>
    </xf>
    <xf numFmtId="0" fontId="0" fillId="4" borderId="22" applyNumberFormat="0" applyFont="1" applyFill="1" applyBorder="1" applyAlignment="1" applyProtection="0">
      <alignment vertical="bottom"/>
    </xf>
    <xf numFmtId="0" fontId="6" fillId="5" borderId="22" applyNumberFormat="0" applyFont="1" applyFill="1" applyBorder="1" applyAlignment="1" applyProtection="0">
      <alignment horizontal="center" vertical="center"/>
    </xf>
    <xf numFmtId="49" fontId="9" fillId="6" borderId="22" applyNumberFormat="1" applyFont="1" applyFill="1" applyBorder="1" applyAlignment="1" applyProtection="0">
      <alignment vertical="bottom"/>
    </xf>
    <xf numFmtId="49" fontId="0" fillId="4" borderId="22" applyNumberFormat="1" applyFont="1" applyFill="1" applyBorder="1" applyAlignment="1" applyProtection="0">
      <alignment vertical="bottom"/>
    </xf>
    <xf numFmtId="49" fontId="8" fillId="5" borderId="22" applyNumberFormat="1" applyFont="1" applyFill="1" applyBorder="1" applyAlignment="1" applyProtection="0">
      <alignment horizontal="center" vertical="center" wrapText="1"/>
    </xf>
    <xf numFmtId="0" fontId="8" fillId="5" borderId="22" applyNumberFormat="0" applyFont="1" applyFill="1" applyBorder="1" applyAlignment="1" applyProtection="0">
      <alignment horizontal="center" vertical="center" wrapText="1"/>
    </xf>
    <xf numFmtId="49" fontId="0" fillId="4" borderId="22" applyNumberFormat="1" applyFont="1" applyFill="1" applyBorder="1" applyAlignment="1" applyProtection="0">
      <alignment vertical="top" wrapText="1"/>
    </xf>
    <xf numFmtId="0" fontId="0" fillId="4" borderId="22" applyNumberFormat="0" applyFont="1" applyFill="1" applyBorder="1" applyAlignment="1" applyProtection="0">
      <alignment vertical="top" wrapText="1"/>
    </xf>
    <xf numFmtId="49" fontId="0" borderId="22" applyNumberFormat="1" applyFont="1" applyFill="0" applyBorder="1" applyAlignment="1" applyProtection="0">
      <alignment vertical="top" wrapText="1"/>
    </xf>
    <xf numFmtId="0" fontId="0" borderId="22" applyNumberFormat="0" applyFont="1" applyFill="0" applyBorder="1" applyAlignment="1" applyProtection="0">
      <alignment vertical="top" wrapText="1"/>
    </xf>
    <xf numFmtId="0" fontId="0" applyNumberFormat="1" applyFont="1" applyFill="0" applyBorder="0" applyAlignment="1" applyProtection="0">
      <alignment vertical="bottom"/>
    </xf>
    <xf numFmtId="0" fontId="0" fillId="4" borderId="14" applyNumberFormat="0" applyFont="1" applyFill="1" applyBorder="1" applyAlignment="1" applyProtection="0">
      <alignment vertical="bottom"/>
    </xf>
    <xf numFmtId="0" fontId="0" fillId="4" borderId="23" applyNumberFormat="0" applyFont="1" applyFill="1" applyBorder="1" applyAlignment="1" applyProtection="0">
      <alignment vertical="bottom"/>
    </xf>
    <xf numFmtId="49" fontId="8" fillId="5" borderId="24"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1f4e78"/>
      <rgbColor rgb="ffb7b7b7"/>
      <rgbColor rgb="ffd9eaf7"/>
      <rgbColor rgb="ff5b9bd5"/>
      <rgbColor rgb="ff40404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16"/>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0.05" customHeight="1">
      <c r="A3" s="10"/>
      <c r="B3" t="s" s="13">
        <v>0</v>
      </c>
      <c r="C3" s="11"/>
      <c r="D3" s="11"/>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10"/>
      <c r="B14" s="4"/>
      <c r="C14" t="s" s="4">
        <v>5</v>
      </c>
      <c r="D14" t="s" s="5">
        <v>8</v>
      </c>
      <c r="E14" s="12"/>
    </row>
    <row r="15" ht="13" customHeight="1">
      <c r="A15" s="10"/>
      <c r="B15" t="s" s="3">
        <v>10</v>
      </c>
      <c r="C15" s="3"/>
      <c r="D15" s="3"/>
      <c r="E15" s="12"/>
    </row>
    <row r="16" ht="13" customHeight="1">
      <c r="A16" s="20"/>
      <c r="B16" s="4"/>
      <c r="C16" t="s" s="4">
        <v>5</v>
      </c>
      <c r="D16" t="s" s="5">
        <v>10</v>
      </c>
      <c r="E16" s="24"/>
    </row>
    <row r="17">
      <c r="B17" t="s" s="3">
        <v>12</v>
      </c>
      <c r="C17" s="3"/>
      <c r="D17" s="3"/>
    </row>
    <row r="18">
      <c r="B18" s="4"/>
      <c r="C18" t="s" s="4">
        <v>5</v>
      </c>
      <c r="D18" t="s" s="5">
        <v>12</v>
      </c>
    </row>
  </sheetData>
  <mergeCells count="2">
    <mergeCell ref="B3:D3"/>
    <mergeCell ref="B3:D3"/>
  </mergeCells>
  <hyperlinks>
    <hyperlink ref="D10" location="'Export Summary'!R1C1" tooltip="" display="Export Summary"/>
    <hyperlink ref="D10" location="'Withdrawal - Card Matrix'!R1C1" tooltip="" display="Withdrawal - Card Matrix"/>
    <hyperlink ref="D12" location="'Withdrawal Summary'!R1C1" tooltip="" display="Withdrawal Summary"/>
    <hyperlink ref="D14" location="'Execution Report'!R1C1" tooltip="" display="Execution Report"/>
    <hyperlink ref="D16" location="'Summary'!R1C1" tooltip="" display="Summary"/>
    <hyperlink ref="D12" location="'Withdrawal - Card Matrix'!R1C1" tooltip="" display="Withdrawal - Card Matrix"/>
    <hyperlink ref="D14" location="'Withdrawal Summary'!R1C1" tooltip="" display="Withdrawal Summary"/>
    <hyperlink ref="D16" location="'Execution Report'!R1C1" tooltip="" display="Execution Report"/>
    <hyperlink ref="D18" location="'Summary'!R1C1" tooltip="" display="Summary"/>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Q61"/>
  <sheetViews>
    <sheetView workbookViewId="0" showGridLines="0" defaultGridColor="1"/>
  </sheetViews>
  <sheetFormatPr defaultColWidth="8.83333" defaultRowHeight="15" customHeight="1" outlineLevelRow="0" outlineLevelCol="0"/>
  <cols>
    <col min="1" max="1" width="16" style="25" customWidth="1"/>
    <col min="2" max="2" width="15" style="25" customWidth="1"/>
    <col min="3" max="3" width="13" style="25" customWidth="1"/>
    <col min="4" max="4" width="18" style="25" customWidth="1"/>
    <col min="5" max="5" width="20" style="25" customWidth="1"/>
    <col min="6" max="6" width="17" style="25" customWidth="1"/>
    <col min="7" max="7" width="15" style="25" customWidth="1"/>
    <col min="8" max="8" width="23" style="25" customWidth="1"/>
    <col min="9" max="9" width="18" style="25" customWidth="1"/>
    <col min="10" max="10" width="18.6719" style="25" customWidth="1"/>
    <col min="11" max="11" width="15" style="25" customWidth="1"/>
    <col min="12" max="12" width="18" style="25" customWidth="1"/>
    <col min="13" max="13" width="20" style="25" customWidth="1"/>
    <col min="14" max="14" width="17" style="25" customWidth="1"/>
    <col min="15" max="16" width="16" style="25" customWidth="1"/>
    <col min="17" max="17" width="35" style="25" customWidth="1"/>
    <col min="18" max="16384" width="8.85156" style="25" customWidth="1"/>
  </cols>
  <sheetData>
    <row r="1" ht="30" customHeight="1">
      <c r="A1" t="s" s="26">
        <v>14</v>
      </c>
      <c r="B1" s="27"/>
      <c r="C1" s="28"/>
      <c r="D1" s="28"/>
      <c r="E1" s="28"/>
      <c r="F1" s="28"/>
      <c r="G1" s="29"/>
      <c r="H1" s="29"/>
      <c r="I1" s="29"/>
      <c r="J1" s="29"/>
      <c r="K1" s="29"/>
      <c r="L1" s="29"/>
      <c r="M1" s="29"/>
      <c r="N1" s="29"/>
      <c r="O1" s="29"/>
      <c r="P1" s="29"/>
      <c r="Q1" s="29"/>
    </row>
    <row r="2" ht="13.55" customHeight="1">
      <c r="A2" t="s" s="30">
        <v>15</v>
      </c>
      <c r="B2" t="s" s="31">
        <v>16</v>
      </c>
      <c r="C2" s="32"/>
      <c r="D2" s="33"/>
      <c r="E2" s="33"/>
      <c r="F2" s="34"/>
      <c r="G2" s="35"/>
      <c r="H2" s="29"/>
      <c r="I2" s="29"/>
      <c r="J2" s="29"/>
      <c r="K2" s="29"/>
      <c r="L2" s="29"/>
      <c r="M2" s="29"/>
      <c r="N2" s="29"/>
      <c r="O2" s="29"/>
      <c r="P2" s="29"/>
      <c r="Q2" s="29"/>
    </row>
    <row r="3" ht="13.55" customHeight="1">
      <c r="A3" t="s" s="30">
        <v>17</v>
      </c>
      <c r="B3" t="s" s="31">
        <v>18</v>
      </c>
      <c r="C3" s="32"/>
      <c r="D3" s="33"/>
      <c r="E3" s="33"/>
      <c r="F3" s="34"/>
      <c r="G3" s="35"/>
      <c r="H3" s="29"/>
      <c r="I3" s="29"/>
      <c r="J3" s="29"/>
      <c r="K3" s="29"/>
      <c r="L3" s="29"/>
      <c r="M3" s="29"/>
      <c r="N3" s="29"/>
      <c r="O3" s="29"/>
      <c r="P3" s="29"/>
      <c r="Q3" s="29"/>
    </row>
    <row r="4" ht="13.55" customHeight="1">
      <c r="A4" t="s" s="30">
        <v>19</v>
      </c>
      <c r="B4" t="s" s="31">
        <v>20</v>
      </c>
      <c r="C4" s="32"/>
      <c r="D4" s="33"/>
      <c r="E4" s="33"/>
      <c r="F4" s="34"/>
      <c r="G4" s="35"/>
      <c r="H4" s="29"/>
      <c r="I4" s="29"/>
      <c r="J4" s="29"/>
      <c r="K4" s="29"/>
      <c r="L4" s="29"/>
      <c r="M4" s="29"/>
      <c r="N4" s="29"/>
      <c r="O4" s="29"/>
      <c r="P4" s="29"/>
      <c r="Q4" s="29"/>
    </row>
    <row r="5" ht="13.55" customHeight="1">
      <c r="A5" t="s" s="30">
        <v>21</v>
      </c>
      <c r="B5" t="s" s="31">
        <v>22</v>
      </c>
      <c r="C5" s="32"/>
      <c r="D5" s="33"/>
      <c r="E5" s="33"/>
      <c r="F5" s="34"/>
      <c r="G5" s="35"/>
      <c r="H5" s="29"/>
      <c r="I5" s="29"/>
      <c r="J5" s="29"/>
      <c r="K5" s="29"/>
      <c r="L5" s="29"/>
      <c r="M5" s="29"/>
      <c r="N5" s="29"/>
      <c r="O5" s="29"/>
      <c r="P5" s="29"/>
      <c r="Q5" s="29"/>
    </row>
    <row r="6" ht="13.55" customHeight="1">
      <c r="A6" t="s" s="30">
        <v>23</v>
      </c>
      <c r="B6" t="s" s="31">
        <v>24</v>
      </c>
      <c r="C6" s="32"/>
      <c r="D6" s="33"/>
      <c r="E6" s="33"/>
      <c r="F6" s="34"/>
      <c r="G6" s="35"/>
      <c r="H6" s="29"/>
      <c r="I6" s="29"/>
      <c r="J6" s="29"/>
      <c r="K6" s="29"/>
      <c r="L6" s="29"/>
      <c r="M6" s="29"/>
      <c r="N6" s="29"/>
      <c r="O6" s="29"/>
      <c r="P6" s="29"/>
      <c r="Q6" s="29"/>
    </row>
    <row r="7" ht="13.55" customHeight="1">
      <c r="A7" s="33"/>
      <c r="B7" s="33"/>
      <c r="C7" s="33"/>
      <c r="D7" s="33"/>
      <c r="E7" s="33"/>
      <c r="F7" s="33"/>
      <c r="G7" s="28"/>
      <c r="H7" s="28"/>
      <c r="I7" s="28"/>
      <c r="J7" s="28"/>
      <c r="K7" s="28"/>
      <c r="L7" s="28"/>
      <c r="M7" s="28"/>
      <c r="N7" s="28"/>
      <c r="O7" s="28"/>
      <c r="P7" s="28"/>
      <c r="Q7" s="28"/>
    </row>
    <row r="8" ht="48" customHeight="1">
      <c r="A8" t="s" s="36">
        <v>25</v>
      </c>
      <c r="B8" t="s" s="36">
        <v>26</v>
      </c>
      <c r="C8" t="s" s="36">
        <v>27</v>
      </c>
      <c r="D8" t="s" s="36">
        <v>28</v>
      </c>
      <c r="E8" t="s" s="36">
        <v>29</v>
      </c>
      <c r="F8" t="s" s="36">
        <v>30</v>
      </c>
      <c r="G8" t="s" s="36">
        <v>31</v>
      </c>
      <c r="H8" t="s" s="36">
        <v>32</v>
      </c>
      <c r="I8" t="s" s="36">
        <v>33</v>
      </c>
      <c r="J8" t="s" s="36">
        <v>34</v>
      </c>
      <c r="K8" t="s" s="36">
        <v>35</v>
      </c>
      <c r="L8" t="s" s="36">
        <v>36</v>
      </c>
      <c r="M8" t="s" s="36">
        <v>37</v>
      </c>
      <c r="N8" t="s" s="36">
        <v>38</v>
      </c>
      <c r="O8" t="s" s="36">
        <v>19</v>
      </c>
      <c r="P8" t="s" s="36">
        <v>21</v>
      </c>
      <c r="Q8" t="s" s="36">
        <v>39</v>
      </c>
    </row>
    <row r="9" ht="13.55" customHeight="1">
      <c r="A9" t="s" s="37">
        <v>40</v>
      </c>
      <c r="B9" t="s" s="37">
        <v>41</v>
      </c>
      <c r="C9" t="s" s="37">
        <v>42</v>
      </c>
      <c r="D9" t="s" s="37">
        <v>43</v>
      </c>
      <c r="E9" t="s" s="37">
        <v>44</v>
      </c>
      <c r="F9" s="38"/>
      <c r="G9" s="38"/>
      <c r="H9" s="38"/>
      <c r="I9" s="38"/>
      <c r="J9" s="38"/>
      <c r="K9" s="38"/>
      <c r="L9" s="38"/>
      <c r="M9" s="38"/>
      <c r="N9" s="38"/>
      <c r="O9" s="38"/>
      <c r="P9" s="38"/>
      <c r="Q9" s="38"/>
    </row>
    <row r="10" ht="13.55" customHeight="1">
      <c r="A10" t="s" s="37">
        <v>45</v>
      </c>
      <c r="B10" t="s" s="37">
        <v>41</v>
      </c>
      <c r="C10" t="s" s="37">
        <v>42</v>
      </c>
      <c r="D10" t="s" s="37">
        <v>43</v>
      </c>
      <c r="E10" t="s" s="37">
        <v>46</v>
      </c>
      <c r="F10" s="38"/>
      <c r="G10" s="38"/>
      <c r="H10" s="38"/>
      <c r="I10" s="38"/>
      <c r="J10" s="38"/>
      <c r="K10" s="38"/>
      <c r="L10" s="38"/>
      <c r="M10" s="38"/>
      <c r="N10" s="38"/>
      <c r="O10" s="38"/>
      <c r="P10" s="38"/>
      <c r="Q10" s="38"/>
    </row>
    <row r="11" ht="13.55" customHeight="1">
      <c r="A11" t="s" s="37">
        <v>47</v>
      </c>
      <c r="B11" t="s" s="39">
        <v>48</v>
      </c>
      <c r="C11" t="s" s="37">
        <v>42</v>
      </c>
      <c r="D11" t="s" s="37">
        <v>43</v>
      </c>
      <c r="E11" t="s" s="37">
        <v>44</v>
      </c>
      <c r="F11" s="40"/>
      <c r="G11" s="40"/>
      <c r="H11" s="40"/>
      <c r="I11" s="40"/>
      <c r="J11" s="40"/>
      <c r="K11" s="40"/>
      <c r="L11" s="40"/>
      <c r="M11" s="40"/>
      <c r="N11" s="40"/>
      <c r="O11" s="40"/>
      <c r="P11" s="40"/>
      <c r="Q11" s="40"/>
    </row>
    <row r="12" ht="13.55" customHeight="1">
      <c r="A12" t="s" s="37">
        <v>49</v>
      </c>
      <c r="B12" t="s" s="39">
        <v>48</v>
      </c>
      <c r="C12" t="s" s="37">
        <v>42</v>
      </c>
      <c r="D12" t="s" s="37">
        <v>43</v>
      </c>
      <c r="E12" t="s" s="37">
        <v>46</v>
      </c>
      <c r="F12" s="40"/>
      <c r="G12" s="40"/>
      <c r="H12" s="40"/>
      <c r="I12" s="40"/>
      <c r="J12" s="40"/>
      <c r="K12" s="39"/>
      <c r="L12" s="39"/>
      <c r="M12" s="39"/>
      <c r="N12" s="40"/>
      <c r="O12" s="40"/>
      <c r="P12" s="40"/>
      <c r="Q12" s="40"/>
    </row>
    <row r="13" ht="13.55" customHeight="1">
      <c r="A13" t="s" s="37">
        <v>50</v>
      </c>
      <c r="B13" t="s" s="39">
        <v>51</v>
      </c>
      <c r="C13" t="s" s="37">
        <v>42</v>
      </c>
      <c r="D13" t="s" s="37">
        <v>43</v>
      </c>
      <c r="E13" t="s" s="37">
        <v>44</v>
      </c>
      <c r="F13" s="40"/>
      <c r="G13" s="40"/>
      <c r="H13" s="40"/>
      <c r="I13" s="40"/>
      <c r="J13" s="40"/>
      <c r="K13" s="39"/>
      <c r="L13" s="39"/>
      <c r="M13" s="39"/>
      <c r="N13" s="40"/>
      <c r="O13" s="40"/>
      <c r="P13" s="40"/>
      <c r="Q13" s="40"/>
    </row>
    <row r="14" ht="13.55" customHeight="1">
      <c r="A14" t="s" s="37">
        <v>52</v>
      </c>
      <c r="B14" t="s" s="39">
        <v>51</v>
      </c>
      <c r="C14" t="s" s="37">
        <v>42</v>
      </c>
      <c r="D14" t="s" s="37">
        <v>43</v>
      </c>
      <c r="E14" t="s" s="37">
        <v>46</v>
      </c>
      <c r="F14" s="40"/>
      <c r="G14" s="40"/>
      <c r="H14" s="40"/>
      <c r="I14" s="40"/>
      <c r="J14" s="40"/>
      <c r="K14" s="39"/>
      <c r="L14" s="39"/>
      <c r="M14" s="39"/>
      <c r="N14" s="40"/>
      <c r="O14" s="40"/>
      <c r="P14" s="40"/>
      <c r="Q14" s="40"/>
    </row>
    <row r="15" ht="13.55" customHeight="1">
      <c r="A15" t="s" s="37">
        <v>53</v>
      </c>
      <c r="B15" t="s" s="37">
        <v>41</v>
      </c>
      <c r="C15" t="s" s="37">
        <v>54</v>
      </c>
      <c r="D15" t="s" s="37">
        <v>43</v>
      </c>
      <c r="E15" t="s" s="37">
        <v>55</v>
      </c>
      <c r="F15" s="40"/>
      <c r="G15" s="40"/>
      <c r="H15" s="40"/>
      <c r="I15" s="40"/>
      <c r="J15" s="40"/>
      <c r="K15" s="39"/>
      <c r="L15" s="39"/>
      <c r="M15" s="39"/>
      <c r="N15" s="40"/>
      <c r="O15" s="40"/>
      <c r="P15" s="40"/>
      <c r="Q15" s="40"/>
    </row>
    <row r="16" ht="13.55" customHeight="1">
      <c r="A16" t="s" s="37">
        <v>49</v>
      </c>
      <c r="B16" t="s" s="37">
        <v>41</v>
      </c>
      <c r="C16" t="s" s="37">
        <v>42</v>
      </c>
      <c r="D16" t="s" s="37">
        <v>56</v>
      </c>
      <c r="E16" t="s" s="37">
        <v>57</v>
      </c>
      <c r="F16" s="38"/>
      <c r="G16" s="38"/>
      <c r="H16" s="38"/>
      <c r="I16" s="38"/>
      <c r="J16" s="38"/>
      <c r="K16" s="38"/>
      <c r="L16" s="38"/>
      <c r="M16" s="38"/>
      <c r="N16" s="38"/>
      <c r="O16" s="38"/>
      <c r="P16" s="38"/>
      <c r="Q16" s="38"/>
    </row>
    <row r="17" ht="13.55" customHeight="1">
      <c r="A17" t="s" s="37">
        <v>50</v>
      </c>
      <c r="B17" t="s" s="37">
        <v>41</v>
      </c>
      <c r="C17" t="s" s="37">
        <v>54</v>
      </c>
      <c r="D17" t="s" s="37">
        <v>56</v>
      </c>
      <c r="E17" t="s" s="37">
        <v>58</v>
      </c>
      <c r="F17" s="38"/>
      <c r="G17" s="38"/>
      <c r="H17" s="38"/>
      <c r="I17" s="38"/>
      <c r="J17" s="38"/>
      <c r="K17" s="38"/>
      <c r="L17" s="38"/>
      <c r="M17" s="38"/>
      <c r="N17" s="38"/>
      <c r="O17" s="38"/>
      <c r="P17" s="38"/>
      <c r="Q17" s="38"/>
    </row>
    <row r="18" ht="13.55" customHeight="1">
      <c r="A18" t="s" s="39">
        <v>52</v>
      </c>
      <c r="B18" t="s" s="39">
        <v>48</v>
      </c>
      <c r="C18" t="s" s="39">
        <v>42</v>
      </c>
      <c r="D18" t="s" s="39">
        <v>43</v>
      </c>
      <c r="E18" t="s" s="39">
        <v>44</v>
      </c>
      <c r="F18" s="38"/>
      <c r="G18" s="38"/>
      <c r="H18" s="38"/>
      <c r="I18" s="38"/>
      <c r="J18" s="38"/>
      <c r="K18" s="38"/>
      <c r="L18" s="38"/>
      <c r="M18" s="38"/>
      <c r="N18" s="38"/>
      <c r="O18" s="38"/>
      <c r="P18" s="38"/>
      <c r="Q18" s="38"/>
    </row>
    <row r="19" ht="13.55" customHeight="1">
      <c r="A19" t="s" s="39">
        <v>53</v>
      </c>
      <c r="B19" t="s" s="39">
        <v>48</v>
      </c>
      <c r="C19" t="s" s="39">
        <v>42</v>
      </c>
      <c r="D19" t="s" s="39">
        <v>43</v>
      </c>
      <c r="E19" t="s" s="39">
        <v>46</v>
      </c>
      <c r="F19" s="40"/>
      <c r="G19" s="40"/>
      <c r="H19" s="40"/>
      <c r="I19" s="40"/>
      <c r="J19" s="40"/>
      <c r="K19" s="40"/>
      <c r="L19" s="40"/>
      <c r="M19" s="40"/>
      <c r="N19" s="40"/>
      <c r="O19" s="40"/>
      <c r="P19" s="40"/>
      <c r="Q19" s="40"/>
    </row>
    <row r="20" ht="13.55" customHeight="1">
      <c r="A20" t="s" s="39">
        <v>59</v>
      </c>
      <c r="B20" t="s" s="39">
        <v>48</v>
      </c>
      <c r="C20" t="s" s="39">
        <v>42</v>
      </c>
      <c r="D20" t="s" s="39">
        <v>43</v>
      </c>
      <c r="E20" t="s" s="39">
        <v>60</v>
      </c>
      <c r="F20" s="40"/>
      <c r="G20" s="40"/>
      <c r="H20" s="40"/>
      <c r="I20" s="40"/>
      <c r="J20" s="40"/>
      <c r="K20" s="40"/>
      <c r="L20" s="40"/>
      <c r="M20" s="40"/>
      <c r="N20" s="40"/>
      <c r="O20" s="40"/>
      <c r="P20" s="40"/>
      <c r="Q20" s="40"/>
    </row>
    <row r="21" ht="13.55" customHeight="1">
      <c r="A21" t="s" s="37">
        <v>61</v>
      </c>
      <c r="B21" t="s" s="37">
        <v>48</v>
      </c>
      <c r="C21" t="s" s="37">
        <v>42</v>
      </c>
      <c r="D21" t="s" s="37">
        <v>43</v>
      </c>
      <c r="E21" t="s" s="37">
        <v>62</v>
      </c>
      <c r="F21" s="40"/>
      <c r="G21" s="40"/>
      <c r="H21" s="40"/>
      <c r="I21" s="40"/>
      <c r="J21" s="40"/>
      <c r="K21" s="40"/>
      <c r="L21" s="40"/>
      <c r="M21" s="40"/>
      <c r="N21" s="40"/>
      <c r="O21" s="40"/>
      <c r="P21" s="40"/>
      <c r="Q21" s="40"/>
    </row>
    <row r="22" ht="13.55" customHeight="1">
      <c r="A22" t="s" s="37">
        <v>63</v>
      </c>
      <c r="B22" t="s" s="37">
        <v>48</v>
      </c>
      <c r="C22" t="s" s="37">
        <v>54</v>
      </c>
      <c r="D22" t="s" s="37">
        <v>43</v>
      </c>
      <c r="E22" t="s" s="37">
        <v>55</v>
      </c>
      <c r="F22" s="38"/>
      <c r="G22" s="38"/>
      <c r="H22" s="38"/>
      <c r="I22" s="38"/>
      <c r="J22" s="38"/>
      <c r="K22" s="38"/>
      <c r="L22" s="38"/>
      <c r="M22" s="38"/>
      <c r="N22" s="38"/>
      <c r="O22" s="38"/>
      <c r="P22" s="38"/>
      <c r="Q22" s="38"/>
    </row>
    <row r="23" ht="13.55" customHeight="1">
      <c r="A23" t="s" s="37">
        <v>64</v>
      </c>
      <c r="B23" t="s" s="37">
        <v>48</v>
      </c>
      <c r="C23" t="s" s="37">
        <v>42</v>
      </c>
      <c r="D23" t="s" s="37">
        <v>56</v>
      </c>
      <c r="E23" t="s" s="37">
        <v>57</v>
      </c>
      <c r="F23" s="38"/>
      <c r="G23" s="38"/>
      <c r="H23" s="38"/>
      <c r="I23" s="38"/>
      <c r="J23" s="38"/>
      <c r="K23" s="38"/>
      <c r="L23" s="38"/>
      <c r="M23" s="38"/>
      <c r="N23" s="38"/>
      <c r="O23" s="38"/>
      <c r="P23" s="38"/>
      <c r="Q23" s="38"/>
    </row>
    <row r="24" ht="13.55" customHeight="1">
      <c r="A24" t="s" s="37">
        <v>65</v>
      </c>
      <c r="B24" t="s" s="37">
        <v>48</v>
      </c>
      <c r="C24" t="s" s="37">
        <v>54</v>
      </c>
      <c r="D24" t="s" s="37">
        <v>56</v>
      </c>
      <c r="E24" t="s" s="37">
        <v>58</v>
      </c>
      <c r="F24" s="38"/>
      <c r="G24" s="38"/>
      <c r="H24" s="38"/>
      <c r="I24" s="38"/>
      <c r="J24" s="38"/>
      <c r="K24" s="38"/>
      <c r="L24" s="38"/>
      <c r="M24" s="38"/>
      <c r="N24" s="38"/>
      <c r="O24" s="38"/>
      <c r="P24" s="38"/>
      <c r="Q24" s="38"/>
    </row>
    <row r="25" ht="13.55" customHeight="1">
      <c r="A25" t="s" s="39">
        <v>66</v>
      </c>
      <c r="B25" t="s" s="39">
        <v>51</v>
      </c>
      <c r="C25" t="s" s="39">
        <v>42</v>
      </c>
      <c r="D25" t="s" s="39">
        <v>43</v>
      </c>
      <c r="E25" t="s" s="39">
        <v>46</v>
      </c>
      <c r="F25" s="38"/>
      <c r="G25" s="38"/>
      <c r="H25" s="38"/>
      <c r="I25" s="38"/>
      <c r="J25" s="38"/>
      <c r="K25" s="38"/>
      <c r="L25" s="38"/>
      <c r="M25" s="38"/>
      <c r="N25" s="38"/>
      <c r="O25" s="38"/>
      <c r="P25" s="38"/>
      <c r="Q25" s="38"/>
    </row>
    <row r="26" ht="13.55" customHeight="1">
      <c r="A26" t="s" s="39">
        <v>67</v>
      </c>
      <c r="B26" t="s" s="39">
        <v>51</v>
      </c>
      <c r="C26" t="s" s="39">
        <v>42</v>
      </c>
      <c r="D26" t="s" s="39">
        <v>43</v>
      </c>
      <c r="E26" t="s" s="39">
        <v>44</v>
      </c>
      <c r="F26" s="40"/>
      <c r="G26" s="40"/>
      <c r="H26" s="40"/>
      <c r="I26" s="40"/>
      <c r="J26" s="40"/>
      <c r="K26" s="40"/>
      <c r="L26" s="40"/>
      <c r="M26" s="40"/>
      <c r="N26" s="40"/>
      <c r="O26" s="40"/>
      <c r="P26" s="40"/>
      <c r="Q26" s="40"/>
    </row>
    <row r="27" ht="13.55" customHeight="1">
      <c r="A27" t="s" s="39">
        <v>68</v>
      </c>
      <c r="B27" t="s" s="39">
        <v>51</v>
      </c>
      <c r="C27" t="s" s="39">
        <v>42</v>
      </c>
      <c r="D27" t="s" s="39">
        <v>43</v>
      </c>
      <c r="E27" t="s" s="39">
        <v>69</v>
      </c>
      <c r="F27" s="40"/>
      <c r="G27" s="40"/>
      <c r="H27" s="40"/>
      <c r="I27" s="40"/>
      <c r="J27" s="40"/>
      <c r="K27" s="40"/>
      <c r="L27" s="40"/>
      <c r="M27" s="40"/>
      <c r="N27" s="40"/>
      <c r="O27" s="40"/>
      <c r="P27" s="40"/>
      <c r="Q27" s="40"/>
    </row>
    <row r="28" ht="13.55" customHeight="1">
      <c r="A28" t="s" s="37">
        <v>70</v>
      </c>
      <c r="B28" t="s" s="37">
        <v>51</v>
      </c>
      <c r="C28" t="s" s="37">
        <v>54</v>
      </c>
      <c r="D28" t="s" s="37">
        <v>43</v>
      </c>
      <c r="E28" t="s" s="37">
        <v>55</v>
      </c>
      <c r="F28" s="40"/>
      <c r="G28" s="40"/>
      <c r="H28" s="40"/>
      <c r="I28" s="40"/>
      <c r="J28" s="40"/>
      <c r="K28" s="40"/>
      <c r="L28" s="40"/>
      <c r="M28" s="40"/>
      <c r="N28" s="40"/>
      <c r="O28" s="40"/>
      <c r="P28" s="40"/>
      <c r="Q28" s="40"/>
    </row>
    <row r="29" ht="13.55" customHeight="1">
      <c r="A29" t="s" s="37">
        <v>71</v>
      </c>
      <c r="B29" t="s" s="37">
        <v>51</v>
      </c>
      <c r="C29" t="s" s="37">
        <v>42</v>
      </c>
      <c r="D29" t="s" s="37">
        <v>56</v>
      </c>
      <c r="E29" t="s" s="37">
        <v>57</v>
      </c>
      <c r="F29" s="38"/>
      <c r="G29" s="38"/>
      <c r="H29" s="38"/>
      <c r="I29" s="38"/>
      <c r="J29" s="38"/>
      <c r="K29" s="38"/>
      <c r="L29" s="38"/>
      <c r="M29" s="38"/>
      <c r="N29" s="38"/>
      <c r="O29" s="38"/>
      <c r="P29" s="38"/>
      <c r="Q29" s="38"/>
    </row>
    <row r="30" ht="13.55" customHeight="1">
      <c r="A30" t="s" s="37">
        <v>72</v>
      </c>
      <c r="B30" t="s" s="37">
        <v>51</v>
      </c>
      <c r="C30" t="s" s="37">
        <v>54</v>
      </c>
      <c r="D30" t="s" s="37">
        <v>56</v>
      </c>
      <c r="E30" t="s" s="37">
        <v>58</v>
      </c>
      <c r="F30" s="38"/>
      <c r="G30" s="38"/>
      <c r="H30" s="38"/>
      <c r="I30" s="38"/>
      <c r="J30" s="38"/>
      <c r="K30" s="38"/>
      <c r="L30" s="38"/>
      <c r="M30" s="38"/>
      <c r="N30" s="38"/>
      <c r="O30" s="38"/>
      <c r="P30" s="38"/>
      <c r="Q30" s="38"/>
    </row>
    <row r="31" ht="13.55" customHeight="1">
      <c r="A31" s="37"/>
      <c r="B31" s="37"/>
      <c r="C31" s="37"/>
      <c r="D31" s="37"/>
      <c r="E31" s="37"/>
      <c r="F31" s="38"/>
      <c r="G31" s="38"/>
      <c r="H31" s="38"/>
      <c r="I31" s="38"/>
      <c r="J31" s="38"/>
      <c r="K31" s="38"/>
      <c r="L31" s="38"/>
      <c r="M31" s="38"/>
      <c r="N31" s="38"/>
      <c r="O31" s="38"/>
      <c r="P31" s="38"/>
      <c r="Q31" s="38"/>
    </row>
    <row r="32" ht="13.55" customHeight="1">
      <c r="A32" s="38"/>
      <c r="B32" s="38"/>
      <c r="C32" s="38"/>
      <c r="D32" s="38"/>
      <c r="E32" s="38"/>
      <c r="F32" s="38"/>
      <c r="G32" s="38"/>
      <c r="H32" s="38"/>
      <c r="I32" s="38"/>
      <c r="J32" s="38"/>
      <c r="K32" s="38"/>
      <c r="L32" s="38"/>
      <c r="M32" s="38"/>
      <c r="N32" s="38"/>
      <c r="O32" s="38"/>
      <c r="P32" s="38"/>
      <c r="Q32" s="38"/>
    </row>
    <row r="33" ht="13.55" customHeight="1">
      <c r="A33" s="38"/>
      <c r="B33" s="38"/>
      <c r="C33" s="38"/>
      <c r="D33" s="38"/>
      <c r="E33" s="38"/>
      <c r="F33" s="38"/>
      <c r="G33" s="38"/>
      <c r="H33" s="38"/>
      <c r="I33" s="38"/>
      <c r="J33" s="38"/>
      <c r="K33" s="38"/>
      <c r="L33" s="38"/>
      <c r="M33" s="38"/>
      <c r="N33" s="38"/>
      <c r="O33" s="38"/>
      <c r="P33" s="38"/>
      <c r="Q33" s="38"/>
    </row>
    <row r="34" ht="13.55" customHeight="1">
      <c r="A34" s="38"/>
      <c r="B34" s="38"/>
      <c r="C34" s="38"/>
      <c r="D34" s="38"/>
      <c r="E34" s="38"/>
      <c r="F34" s="38"/>
      <c r="G34" s="38"/>
      <c r="H34" s="38"/>
      <c r="I34" s="38"/>
      <c r="J34" s="38"/>
      <c r="K34" s="38"/>
      <c r="L34" s="38"/>
      <c r="M34" s="38"/>
      <c r="N34" s="38"/>
      <c r="O34" s="38"/>
      <c r="P34" s="38"/>
      <c r="Q34" s="38"/>
    </row>
    <row r="35" ht="13.55" customHeight="1">
      <c r="A35" s="38"/>
      <c r="B35" s="38"/>
      <c r="C35" s="38"/>
      <c r="D35" s="38"/>
      <c r="E35" s="38"/>
      <c r="F35" s="38"/>
      <c r="G35" s="38"/>
      <c r="H35" s="38"/>
      <c r="I35" s="38"/>
      <c r="J35" s="38"/>
      <c r="K35" s="38"/>
      <c r="L35" s="38"/>
      <c r="M35" s="38"/>
      <c r="N35" s="38"/>
      <c r="O35" s="38"/>
      <c r="P35" s="38"/>
      <c r="Q35" s="38"/>
    </row>
    <row r="36" ht="13.55" customHeight="1">
      <c r="A36" s="38"/>
      <c r="B36" s="38"/>
      <c r="C36" s="38"/>
      <c r="D36" s="38"/>
      <c r="E36" s="38"/>
      <c r="F36" s="38"/>
      <c r="G36" s="38"/>
      <c r="H36" s="38"/>
      <c r="I36" s="38"/>
      <c r="J36" s="38"/>
      <c r="K36" s="38"/>
      <c r="L36" s="38"/>
      <c r="M36" s="38"/>
      <c r="N36" s="38"/>
      <c r="O36" s="38"/>
      <c r="P36" s="38"/>
      <c r="Q36" s="38"/>
    </row>
    <row r="37" ht="13.55" customHeight="1">
      <c r="A37" s="38"/>
      <c r="B37" s="38"/>
      <c r="C37" s="38"/>
      <c r="D37" s="38"/>
      <c r="E37" s="38"/>
      <c r="F37" s="38"/>
      <c r="G37" s="38"/>
      <c r="H37" s="38"/>
      <c r="I37" s="38"/>
      <c r="J37" s="38"/>
      <c r="K37" s="38"/>
      <c r="L37" s="38"/>
      <c r="M37" s="38"/>
      <c r="N37" s="38"/>
      <c r="O37" s="38"/>
      <c r="P37" s="38"/>
      <c r="Q37" s="38"/>
    </row>
    <row r="38" ht="13.55" customHeight="1">
      <c r="A38" s="38"/>
      <c r="B38" s="38"/>
      <c r="C38" s="38"/>
      <c r="D38" s="38"/>
      <c r="E38" s="38"/>
      <c r="F38" s="38"/>
      <c r="G38" s="38"/>
      <c r="H38" s="38"/>
      <c r="I38" s="38"/>
      <c r="J38" s="38"/>
      <c r="K38" s="38"/>
      <c r="L38" s="38"/>
      <c r="M38" s="38"/>
      <c r="N38" s="38"/>
      <c r="O38" s="38"/>
      <c r="P38" s="38"/>
      <c r="Q38" s="38"/>
    </row>
    <row r="39" ht="13.55" customHeight="1">
      <c r="A39" s="38"/>
      <c r="B39" s="38"/>
      <c r="C39" s="38"/>
      <c r="D39" s="38"/>
      <c r="E39" s="38"/>
      <c r="F39" s="38"/>
      <c r="G39" s="38"/>
      <c r="H39" s="38"/>
      <c r="I39" s="38"/>
      <c r="J39" s="38"/>
      <c r="K39" s="38"/>
      <c r="L39" s="38"/>
      <c r="M39" s="38"/>
      <c r="N39" s="38"/>
      <c r="O39" s="38"/>
      <c r="P39" s="38"/>
      <c r="Q39" s="38"/>
    </row>
    <row r="40" ht="13.55" customHeight="1">
      <c r="A40" s="38"/>
      <c r="B40" s="38"/>
      <c r="C40" s="38"/>
      <c r="D40" s="38"/>
      <c r="E40" s="38"/>
      <c r="F40" s="38"/>
      <c r="G40" s="38"/>
      <c r="H40" s="38"/>
      <c r="I40" s="38"/>
      <c r="J40" s="38"/>
      <c r="K40" s="38"/>
      <c r="L40" s="38"/>
      <c r="M40" s="38"/>
      <c r="N40" s="38"/>
      <c r="O40" s="38"/>
      <c r="P40" s="38"/>
      <c r="Q40" s="38"/>
    </row>
    <row r="41" ht="13.55" customHeight="1">
      <c r="A41" s="38"/>
      <c r="B41" s="38"/>
      <c r="C41" s="38"/>
      <c r="D41" s="38"/>
      <c r="E41" s="38"/>
      <c r="F41" s="38"/>
      <c r="G41" s="38"/>
      <c r="H41" s="38"/>
      <c r="I41" s="38"/>
      <c r="J41" s="38"/>
      <c r="K41" s="38"/>
      <c r="L41" s="38"/>
      <c r="M41" s="38"/>
      <c r="N41" s="38"/>
      <c r="O41" s="38"/>
      <c r="P41" s="38"/>
      <c r="Q41" s="38"/>
    </row>
    <row r="42" ht="13.55" customHeight="1">
      <c r="A42" s="38"/>
      <c r="B42" s="38"/>
      <c r="C42" s="38"/>
      <c r="D42" s="38"/>
      <c r="E42" s="38"/>
      <c r="F42" s="38"/>
      <c r="G42" s="38"/>
      <c r="H42" s="38"/>
      <c r="I42" s="38"/>
      <c r="J42" s="38"/>
      <c r="K42" s="38"/>
      <c r="L42" s="38"/>
      <c r="M42" s="38"/>
      <c r="N42" s="38"/>
      <c r="O42" s="38"/>
      <c r="P42" s="38"/>
      <c r="Q42" s="38"/>
    </row>
    <row r="43" ht="13.55" customHeight="1">
      <c r="A43" s="38"/>
      <c r="B43" s="38"/>
      <c r="C43" s="38"/>
      <c r="D43" s="38"/>
      <c r="E43" s="38"/>
      <c r="F43" s="38"/>
      <c r="G43" s="38"/>
      <c r="H43" s="38"/>
      <c r="I43" s="38"/>
      <c r="J43" s="38"/>
      <c r="K43" s="38"/>
      <c r="L43" s="38"/>
      <c r="M43" s="38"/>
      <c r="N43" s="38"/>
      <c r="O43" s="38"/>
      <c r="P43" s="38"/>
      <c r="Q43" s="38"/>
    </row>
    <row r="44" ht="13.55" customHeight="1">
      <c r="A44" s="38"/>
      <c r="B44" s="38"/>
      <c r="C44" s="38"/>
      <c r="D44" s="38"/>
      <c r="E44" s="38"/>
      <c r="F44" s="38"/>
      <c r="G44" s="38"/>
      <c r="H44" s="38"/>
      <c r="I44" s="38"/>
      <c r="J44" s="38"/>
      <c r="K44" s="38"/>
      <c r="L44" s="38"/>
      <c r="M44" s="38"/>
      <c r="N44" s="38"/>
      <c r="O44" s="38"/>
      <c r="P44" s="38"/>
      <c r="Q44" s="38"/>
    </row>
    <row r="45" ht="13.55" customHeight="1">
      <c r="A45" s="38"/>
      <c r="B45" s="38"/>
      <c r="C45" s="38"/>
      <c r="D45" s="38"/>
      <c r="E45" s="38"/>
      <c r="F45" s="38"/>
      <c r="G45" s="38"/>
      <c r="H45" s="38"/>
      <c r="I45" s="38"/>
      <c r="J45" s="38"/>
      <c r="K45" s="38"/>
      <c r="L45" s="38"/>
      <c r="M45" s="38"/>
      <c r="N45" s="38"/>
      <c r="O45" s="38"/>
      <c r="P45" s="38"/>
      <c r="Q45" s="38"/>
    </row>
    <row r="46" ht="13.55" customHeight="1">
      <c r="A46" s="38"/>
      <c r="B46" s="38"/>
      <c r="C46" s="38"/>
      <c r="D46" s="38"/>
      <c r="E46" s="38"/>
      <c r="F46" s="38"/>
      <c r="G46" s="38"/>
      <c r="H46" s="38"/>
      <c r="I46" s="38"/>
      <c r="J46" s="38"/>
      <c r="K46" s="38"/>
      <c r="L46" s="38"/>
      <c r="M46" s="38"/>
      <c r="N46" s="38"/>
      <c r="O46" s="38"/>
      <c r="P46" s="38"/>
      <c r="Q46" s="38"/>
    </row>
    <row r="47" ht="13.55" customHeight="1">
      <c r="A47" s="38"/>
      <c r="B47" s="38"/>
      <c r="C47" s="38"/>
      <c r="D47" s="38"/>
      <c r="E47" s="38"/>
      <c r="F47" s="38"/>
      <c r="G47" s="38"/>
      <c r="H47" s="38"/>
      <c r="I47" s="38"/>
      <c r="J47" s="38"/>
      <c r="K47" s="38"/>
      <c r="L47" s="38"/>
      <c r="M47" s="38"/>
      <c r="N47" s="38"/>
      <c r="O47" s="38"/>
      <c r="P47" s="38"/>
      <c r="Q47" s="38"/>
    </row>
    <row r="48" ht="13.55" customHeight="1">
      <c r="A48" s="38"/>
      <c r="B48" s="38"/>
      <c r="C48" s="38"/>
      <c r="D48" s="38"/>
      <c r="E48" s="38"/>
      <c r="F48" s="38"/>
      <c r="G48" s="38"/>
      <c r="H48" s="38"/>
      <c r="I48" s="38"/>
      <c r="J48" s="38"/>
      <c r="K48" s="38"/>
      <c r="L48" s="38"/>
      <c r="M48" s="38"/>
      <c r="N48" s="38"/>
      <c r="O48" s="38"/>
      <c r="P48" s="38"/>
      <c r="Q48" s="38"/>
    </row>
    <row r="49" ht="13.55" customHeight="1">
      <c r="A49" s="38"/>
      <c r="B49" s="38"/>
      <c r="C49" s="38"/>
      <c r="D49" s="38"/>
      <c r="E49" s="38"/>
      <c r="F49" s="38"/>
      <c r="G49" s="38"/>
      <c r="H49" s="38"/>
      <c r="I49" s="38"/>
      <c r="J49" s="38"/>
      <c r="K49" s="38"/>
      <c r="L49" s="38"/>
      <c r="M49" s="38"/>
      <c r="N49" s="38"/>
      <c r="O49" s="38"/>
      <c r="P49" s="38"/>
      <c r="Q49" s="38"/>
    </row>
    <row r="50" ht="13.55" customHeight="1">
      <c r="A50" s="38"/>
      <c r="B50" s="38"/>
      <c r="C50" s="38"/>
      <c r="D50" s="38"/>
      <c r="E50" s="38"/>
      <c r="F50" s="38"/>
      <c r="G50" s="38"/>
      <c r="H50" s="38"/>
      <c r="I50" s="38"/>
      <c r="J50" s="38"/>
      <c r="K50" s="38"/>
      <c r="L50" s="38"/>
      <c r="M50" s="38"/>
      <c r="N50" s="38"/>
      <c r="O50" s="38"/>
      <c r="P50" s="38"/>
      <c r="Q50" s="38"/>
    </row>
    <row r="51" ht="13.55" customHeight="1">
      <c r="A51" s="38"/>
      <c r="B51" s="38"/>
      <c r="C51" s="38"/>
      <c r="D51" s="38"/>
      <c r="E51" s="38"/>
      <c r="F51" s="38"/>
      <c r="G51" s="38"/>
      <c r="H51" s="38"/>
      <c r="I51" s="38"/>
      <c r="J51" s="38"/>
      <c r="K51" s="38"/>
      <c r="L51" s="38"/>
      <c r="M51" s="38"/>
      <c r="N51" s="38"/>
      <c r="O51" s="38"/>
      <c r="P51" s="38"/>
      <c r="Q51" s="38"/>
    </row>
    <row r="52" ht="13.55" customHeight="1">
      <c r="A52" s="38"/>
      <c r="B52" s="38"/>
      <c r="C52" s="38"/>
      <c r="D52" s="38"/>
      <c r="E52" s="38"/>
      <c r="F52" s="38"/>
      <c r="G52" s="38"/>
      <c r="H52" s="38"/>
      <c r="I52" s="38"/>
      <c r="J52" s="38"/>
      <c r="K52" s="38"/>
      <c r="L52" s="38"/>
      <c r="M52" s="38"/>
      <c r="N52" s="38"/>
      <c r="O52" s="38"/>
      <c r="P52" s="38"/>
      <c r="Q52" s="38"/>
    </row>
    <row r="53" ht="13.55" customHeight="1">
      <c r="A53" s="38"/>
      <c r="B53" s="38"/>
      <c r="C53" s="38"/>
      <c r="D53" s="38"/>
      <c r="E53" s="38"/>
      <c r="F53" s="38"/>
      <c r="G53" s="38"/>
      <c r="H53" s="38"/>
      <c r="I53" s="38"/>
      <c r="J53" s="38"/>
      <c r="K53" s="38"/>
      <c r="L53" s="38"/>
      <c r="M53" s="38"/>
      <c r="N53" s="38"/>
      <c r="O53" s="38"/>
      <c r="P53" s="38"/>
      <c r="Q53" s="38"/>
    </row>
    <row r="54" ht="13.55" customHeight="1">
      <c r="A54" s="38"/>
      <c r="B54" s="38"/>
      <c r="C54" s="38"/>
      <c r="D54" s="38"/>
      <c r="E54" s="38"/>
      <c r="F54" s="38"/>
      <c r="G54" s="38"/>
      <c r="H54" s="38"/>
      <c r="I54" s="38"/>
      <c r="J54" s="38"/>
      <c r="K54" s="38"/>
      <c r="L54" s="38"/>
      <c r="M54" s="38"/>
      <c r="N54" s="38"/>
      <c r="O54" s="38"/>
      <c r="P54" s="38"/>
      <c r="Q54" s="38"/>
    </row>
    <row r="55" ht="13.55" customHeight="1">
      <c r="A55" s="38"/>
      <c r="B55" s="38"/>
      <c r="C55" s="38"/>
      <c r="D55" s="38"/>
      <c r="E55" s="38"/>
      <c r="F55" s="38"/>
      <c r="G55" s="38"/>
      <c r="H55" s="38"/>
      <c r="I55" s="38"/>
      <c r="J55" s="38"/>
      <c r="K55" s="38"/>
      <c r="L55" s="38"/>
      <c r="M55" s="38"/>
      <c r="N55" s="38"/>
      <c r="O55" s="38"/>
      <c r="P55" s="38"/>
      <c r="Q55" s="38"/>
    </row>
    <row r="56" ht="13.55" customHeight="1">
      <c r="A56" s="38"/>
      <c r="B56" s="38"/>
      <c r="C56" s="38"/>
      <c r="D56" s="38"/>
      <c r="E56" s="38"/>
      <c r="F56" s="38"/>
      <c r="G56" s="38"/>
      <c r="H56" s="38"/>
      <c r="I56" s="38"/>
      <c r="J56" s="38"/>
      <c r="K56" s="38"/>
      <c r="L56" s="38"/>
      <c r="M56" s="38"/>
      <c r="N56" s="38"/>
      <c r="O56" s="38"/>
      <c r="P56" s="38"/>
      <c r="Q56" s="38"/>
    </row>
    <row r="57" ht="13.55" customHeight="1">
      <c r="A57" s="38"/>
      <c r="B57" s="38"/>
      <c r="C57" s="38"/>
      <c r="D57" s="38"/>
      <c r="E57" s="38"/>
      <c r="F57" s="38"/>
      <c r="G57" s="38"/>
      <c r="H57" s="38"/>
      <c r="I57" s="38"/>
      <c r="J57" s="38"/>
      <c r="K57" s="38"/>
      <c r="L57" s="38"/>
      <c r="M57" s="38"/>
      <c r="N57" s="38"/>
      <c r="O57" s="38"/>
      <c r="P57" s="38"/>
      <c r="Q57" s="38"/>
    </row>
    <row r="58" ht="13.55" customHeight="1">
      <c r="A58" s="38"/>
      <c r="B58" s="38"/>
      <c r="C58" s="38"/>
      <c r="D58" s="38"/>
      <c r="E58" s="38"/>
      <c r="F58" s="38"/>
      <c r="G58" s="38"/>
      <c r="H58" s="38"/>
      <c r="I58" s="38"/>
      <c r="J58" s="38"/>
      <c r="K58" s="38"/>
      <c r="L58" s="38"/>
      <c r="M58" s="38"/>
      <c r="N58" s="38"/>
      <c r="O58" s="38"/>
      <c r="P58" s="38"/>
      <c r="Q58" s="38"/>
    </row>
    <row r="59" ht="13.55" customHeight="1">
      <c r="A59" s="38"/>
      <c r="B59" s="38"/>
      <c r="C59" s="38"/>
      <c r="D59" s="38"/>
      <c r="E59" s="38"/>
      <c r="F59" s="38"/>
      <c r="G59" s="38"/>
      <c r="H59" s="38"/>
      <c r="I59" s="38"/>
      <c r="J59" s="38"/>
      <c r="K59" s="38"/>
      <c r="L59" s="38"/>
      <c r="M59" s="38"/>
      <c r="N59" s="38"/>
      <c r="O59" s="38"/>
      <c r="P59" s="38"/>
      <c r="Q59" s="38"/>
    </row>
    <row r="60" ht="13.55" customHeight="1">
      <c r="A60" s="38"/>
      <c r="B60" s="38"/>
      <c r="C60" s="38"/>
      <c r="D60" s="38"/>
      <c r="E60" s="38"/>
      <c r="F60" s="38"/>
      <c r="G60" s="38"/>
      <c r="H60" s="38"/>
      <c r="I60" s="38"/>
      <c r="J60" s="38"/>
      <c r="K60" s="38"/>
      <c r="L60" s="38"/>
      <c r="M60" s="38"/>
      <c r="N60" s="38"/>
      <c r="O60" s="38"/>
      <c r="P60" s="38"/>
      <c r="Q60" s="38"/>
    </row>
    <row r="61" ht="13.55" customHeight="1">
      <c r="A61" s="38"/>
      <c r="B61" s="38"/>
      <c r="C61" s="38"/>
      <c r="D61" s="38"/>
      <c r="E61" s="38"/>
      <c r="F61" s="38"/>
      <c r="G61" s="38"/>
      <c r="H61" s="38"/>
      <c r="I61" s="38"/>
      <c r="J61" s="38"/>
      <c r="K61" s="38"/>
      <c r="L61" s="38"/>
      <c r="M61" s="38"/>
      <c r="N61" s="38"/>
      <c r="O61" s="38"/>
      <c r="P61" s="38"/>
      <c r="Q61" s="38"/>
    </row>
  </sheetData>
  <mergeCells count="6">
    <mergeCell ref="B4:F4"/>
    <mergeCell ref="A1:Q1"/>
    <mergeCell ref="B6:F6"/>
    <mergeCell ref="B2:F2"/>
    <mergeCell ref="B3:F3"/>
    <mergeCell ref="B5:F5"/>
  </mergeCells>
  <dataValidations count="3">
    <dataValidation type="list" allowBlank="1" showInputMessage="1" showErrorMessage="1" sqref="B9:B30 B32:B61">
      <formula1>"Visa,Mastercard,JCB"</formula1>
    </dataValidation>
    <dataValidation type="list" allowBlank="1" showInputMessage="1" showErrorMessage="1" sqref="C9:C30 C32:C61">
      <formula1>"Debit,Credit"</formula1>
    </dataValidation>
    <dataValidation type="list" allowBlank="1" showInputMessage="1" showErrorMessage="1" sqref="K9:M11 K16:M61">
      <formula1>"SUCCESS,PASS,FAIL,BLOCKED,NOT EXECUTED,UPDATED,NA"</formula1>
    </dataValidation>
  </dataValidations>
  <pageMargins left="0.75" right="0.75" top="1" bottom="1" header="0.5" footer="0.5"/>
  <pageSetup firstPageNumber="1" fitToHeight="1" fitToWidth="1" scale="100" useFirstPageNumber="0" orientation="landscape"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F10"/>
  <sheetViews>
    <sheetView workbookViewId="0" showGridLines="0" defaultGridColor="1"/>
  </sheetViews>
  <sheetFormatPr defaultColWidth="8.83333" defaultRowHeight="15" customHeight="1" outlineLevelRow="0" outlineLevelCol="0"/>
  <cols>
    <col min="1" max="1" width="25" style="41" customWidth="1"/>
    <col min="2" max="5" width="15" style="41" customWidth="1"/>
    <col min="6" max="6" width="18" style="41" customWidth="1"/>
    <col min="7" max="16384" width="8.85156" style="41" customWidth="1"/>
  </cols>
  <sheetData>
    <row r="1" ht="21" customHeight="1">
      <c r="A1" t="s" s="42">
        <v>73</v>
      </c>
      <c r="B1" s="43"/>
      <c r="C1" s="29"/>
      <c r="D1" s="29"/>
      <c r="E1" s="29"/>
      <c r="F1" s="29"/>
    </row>
    <row r="2" ht="13.55" customHeight="1">
      <c r="A2" s="44"/>
      <c r="B2" s="28"/>
      <c r="C2" s="28"/>
      <c r="D2" s="28"/>
      <c r="E2" s="28"/>
      <c r="F2" s="28"/>
    </row>
    <row r="3" ht="13.55" customHeight="1">
      <c r="A3" t="s" s="45">
        <v>26</v>
      </c>
      <c r="B3" t="s" s="45">
        <v>74</v>
      </c>
      <c r="C3" t="s" s="45">
        <v>75</v>
      </c>
      <c r="D3" t="s" s="45">
        <v>76</v>
      </c>
      <c r="E3" t="s" s="45">
        <v>77</v>
      </c>
      <c r="F3" t="s" s="45">
        <v>78</v>
      </c>
    </row>
    <row r="4" ht="13.55" customHeight="1">
      <c r="A4" t="s" s="31">
        <v>41</v>
      </c>
      <c r="B4" s="46" cm="1">
        <f t="array" ref="B4">COUNTIF('Withdrawal Summary'!B9:B61,A4)</f>
        <v>5</v>
      </c>
      <c r="C4" s="46" cm="1">
        <f t="array" ref="C4">_xlfn.COUNTIFS('Withdrawal Summary'!B9:B61,A4,'Withdrawal Summary'!N9:N61,"PASS")</f>
        <v>0</v>
      </c>
      <c r="D4" s="46" cm="1">
        <f t="array" ref="D4">_xlfn.COUNTIFS('Withdrawal Summary'!B9:B61,A4,'Withdrawal Summary'!N9:N61,"FAIL")</f>
        <v>0</v>
      </c>
      <c r="E4" s="46" cm="1">
        <f t="array" ref="E4">_xlfn.COUNTIFS('Withdrawal Summary'!B9:B61,A4,'Withdrawal Summary'!N9:N61,"BLOCKED")</f>
        <v>0</v>
      </c>
      <c r="F4" s="46" cm="1">
        <f t="array" ref="F4">_xlfn.COUNTIFS('Withdrawal Summary'!B9:B61,A4,'Withdrawal Summary'!N9:N61,"NOT EXECUTED")</f>
        <v>0</v>
      </c>
    </row>
    <row r="5" ht="13.55" customHeight="1">
      <c r="A5" t="s" s="31">
        <v>48</v>
      </c>
      <c r="B5" s="46" cm="1">
        <f t="array" ref="B5">COUNTIF('Withdrawal Summary'!B9:B61,A5)</f>
        <v>9</v>
      </c>
      <c r="C5" s="46" cm="1">
        <f t="array" ref="C5">_xlfn.COUNTIFS('Withdrawal Summary'!B9:B61,A5,'Withdrawal Summary'!N9:N61,"PASS")</f>
        <v>0</v>
      </c>
      <c r="D5" s="46" cm="1">
        <f t="array" ref="D5">_xlfn.COUNTIFS('Withdrawal Summary'!B9:B61,A5,'Withdrawal Summary'!N9:N61,"FAIL")</f>
        <v>0</v>
      </c>
      <c r="E5" s="46" cm="1">
        <f t="array" ref="E5">_xlfn.COUNTIFS('Withdrawal Summary'!B9:B61,A5,'Withdrawal Summary'!N9:N61,"BLOCKED")</f>
        <v>0</v>
      </c>
      <c r="F5" s="46" cm="1">
        <f t="array" ref="F5">_xlfn.COUNTIFS('Withdrawal Summary'!B9:B61,A5,'Withdrawal Summary'!N9:N61,"NOT EXECUTED")</f>
        <v>0</v>
      </c>
    </row>
    <row r="6" ht="13.55" customHeight="1">
      <c r="A6" t="s" s="31">
        <v>51</v>
      </c>
      <c r="B6" s="46" cm="1">
        <f t="array" ref="B6">COUNTIF('Withdrawal Summary'!B9:B61,A6)</f>
        <v>8</v>
      </c>
      <c r="C6" s="46" cm="1">
        <f t="array" ref="C6">_xlfn.COUNTIFS('Withdrawal Summary'!B9:B61,A6,'Withdrawal Summary'!N9:N61,"PASS")</f>
        <v>0</v>
      </c>
      <c r="D6" s="46" cm="1">
        <f t="array" ref="D6">_xlfn.COUNTIFS('Withdrawal Summary'!B9:B61,A6,'Withdrawal Summary'!N9:N61,"FAIL")</f>
        <v>0</v>
      </c>
      <c r="E6" s="46" cm="1">
        <f t="array" ref="E6">_xlfn.COUNTIFS('Withdrawal Summary'!B9:B61,A6,'Withdrawal Summary'!N9:N61,"BLOCKED")</f>
        <v>0</v>
      </c>
      <c r="F6" s="46" cm="1">
        <f t="array" ref="F6">_xlfn.COUNTIFS('Withdrawal Summary'!B9:B61,A6,'Withdrawal Summary'!N9:N61,"NOT EXECUTED")</f>
        <v>0</v>
      </c>
    </row>
    <row r="7" ht="13.55" customHeight="1">
      <c r="A7" s="33"/>
      <c r="B7" s="33"/>
      <c r="C7" s="47"/>
      <c r="D7" s="47"/>
      <c r="E7" s="47"/>
      <c r="F7" s="47"/>
    </row>
    <row r="8" ht="13.55" customHeight="1">
      <c r="A8" t="s" s="30">
        <v>79</v>
      </c>
      <c r="B8" s="48" cm="1">
        <f t="array" ref="B8">IF(COUNTA('Withdrawal Summary'!A9:A61)=0,0,COUNTIF('Withdrawal Summary'!N9:N61,"PASS")/COUNTA('Withdrawal Summary'!A9:A61))</f>
        <v>0</v>
      </c>
      <c r="C8" s="35"/>
      <c r="D8" s="29"/>
      <c r="E8" s="29"/>
      <c r="F8" s="29"/>
    </row>
    <row r="9" ht="13.55" customHeight="1">
      <c r="A9" t="s" s="30">
        <v>80</v>
      </c>
      <c r="B9" s="48" cm="1">
        <f t="array" ref="B9">IF((COUNTIF('Withdrawal Summary'!N9:N61,"PASS")+COUNTIF('Withdrawal Summary'!N9:N61,"FAIL"))=0,0,COUNTIF('Withdrawal Summary'!N9:N61,"PASS")/(COUNTIF('Withdrawal Summary'!N9:N61,"PASS")+COUNTIF('Withdrawal Summary'!N9:N61,"FAIL")))</f>
        <v>0</v>
      </c>
      <c r="C9" s="35"/>
      <c r="D9" s="29"/>
      <c r="E9" s="29"/>
      <c r="F9" s="29"/>
    </row>
    <row r="10" ht="13.55" customHeight="1">
      <c r="A10" s="47"/>
      <c r="B10" s="47"/>
      <c r="C10" s="29"/>
      <c r="D10" s="29"/>
      <c r="E10" s="29"/>
      <c r="F10" s="29"/>
    </row>
  </sheetData>
  <mergeCells count="1">
    <mergeCell ref="A1:F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AJ87"/>
  <sheetViews>
    <sheetView workbookViewId="0" showGridLines="0" defaultGridColor="1"/>
  </sheetViews>
  <sheetFormatPr defaultColWidth="8.83333" defaultRowHeight="15" customHeight="1" outlineLevelRow="0" outlineLevelCol="0"/>
  <cols>
    <col min="1" max="1" width="14.5" style="49" customWidth="1"/>
    <col min="2" max="2" width="22" style="49" customWidth="1"/>
    <col min="3" max="3" width="42" style="49" customWidth="1"/>
    <col min="4" max="4" width="16" style="49" customWidth="1"/>
    <col min="5" max="5" width="24" style="49" customWidth="1"/>
    <col min="6" max="6" width="13" style="49" customWidth="1"/>
    <col min="7" max="7" width="18" style="49" customWidth="1"/>
    <col min="8" max="8" width="18.6719" style="49" customWidth="1"/>
    <col min="9" max="10" width="16" style="49" customWidth="1"/>
    <col min="11" max="12" width="15" style="49" customWidth="1"/>
    <col min="13" max="14" width="18" style="49" customWidth="1"/>
    <col min="15" max="15" width="17" style="49" customWidth="1"/>
    <col min="16" max="16" width="16" style="49" customWidth="1"/>
    <col min="17" max="17" width="18" style="49" customWidth="1"/>
    <col min="18" max="36" width="35" style="49" customWidth="1"/>
    <col min="37" max="16384" width="8.85156" style="49" customWidth="1"/>
  </cols>
  <sheetData>
    <row r="1" ht="21" customHeight="1">
      <c r="A1" t="s" s="50">
        <v>81</v>
      </c>
      <c r="B1" s="51"/>
      <c r="C1" s="51"/>
      <c r="D1" s="51"/>
      <c r="E1" s="51"/>
      <c r="F1" s="51"/>
      <c r="G1" s="51"/>
      <c r="H1" s="51"/>
      <c r="I1" s="51"/>
      <c r="J1" s="51"/>
      <c r="K1" s="51"/>
      <c r="L1" s="51"/>
      <c r="M1" s="51"/>
      <c r="N1" s="51"/>
      <c r="O1" s="51"/>
      <c r="P1" s="51"/>
      <c r="Q1" s="51"/>
      <c r="R1" s="51"/>
      <c r="S1" s="52"/>
      <c r="T1" s="52"/>
      <c r="U1" s="52"/>
      <c r="V1" s="52"/>
      <c r="W1" s="52"/>
      <c r="X1" s="52"/>
      <c r="Y1" s="52"/>
      <c r="Z1" s="52"/>
      <c r="AA1" s="52"/>
      <c r="AB1" s="52"/>
      <c r="AC1" s="52"/>
      <c r="AD1" s="52"/>
      <c r="AE1" s="52"/>
      <c r="AF1" s="52"/>
      <c r="AG1" s="52"/>
      <c r="AH1" s="52"/>
      <c r="AI1" s="52"/>
      <c r="AJ1" s="52"/>
    </row>
    <row r="2" ht="13.55" customHeight="1">
      <c r="A2" t="s" s="53">
        <v>15</v>
      </c>
      <c r="B2" t="s" s="54">
        <v>16</v>
      </c>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row>
    <row r="3" ht="13.55" customHeight="1">
      <c r="A3" t="s" s="53">
        <v>19</v>
      </c>
      <c r="B3" t="s" s="54">
        <v>20</v>
      </c>
      <c r="C3" s="51"/>
      <c r="D3" s="51"/>
      <c r="E3" s="51"/>
      <c r="F3" s="51"/>
      <c r="G3" s="51"/>
      <c r="H3" s="51"/>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row>
    <row r="4" ht="13.55" customHeight="1">
      <c r="A4" t="s" s="53">
        <v>21</v>
      </c>
      <c r="B4" t="s" s="54">
        <v>22</v>
      </c>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row>
    <row r="5" ht="13.55" customHeight="1">
      <c r="A5" t="s" s="53">
        <v>82</v>
      </c>
      <c r="B5" t="s" s="54">
        <v>83</v>
      </c>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row>
    <row r="6" ht="13.55" customHeight="1">
      <c r="A6" s="51"/>
      <c r="B6" s="51"/>
      <c r="C6" s="51"/>
      <c r="D6" s="51"/>
      <c r="E6" s="51"/>
      <c r="F6" s="51"/>
      <c r="G6" s="51"/>
      <c r="H6" s="51"/>
      <c r="I6" s="51"/>
      <c r="J6" s="51"/>
      <c r="K6" s="51"/>
      <c r="L6" s="51"/>
      <c r="M6" s="51"/>
      <c r="N6" s="51"/>
      <c r="O6" s="51"/>
      <c r="P6" s="51"/>
      <c r="Q6" s="51"/>
      <c r="R6" s="51"/>
      <c r="S6" s="51"/>
      <c r="T6" s="51"/>
      <c r="U6" s="51"/>
      <c r="V6" s="51"/>
      <c r="W6" s="51"/>
      <c r="X6" s="51"/>
      <c r="Y6" s="51"/>
      <c r="Z6" s="51"/>
      <c r="AA6" s="51"/>
      <c r="AB6" s="51"/>
      <c r="AC6" s="51"/>
      <c r="AD6" s="51"/>
      <c r="AE6" s="51"/>
      <c r="AF6" s="51"/>
      <c r="AG6" s="51"/>
      <c r="AH6" s="51"/>
      <c r="AI6" s="51"/>
      <c r="AJ6" s="51"/>
    </row>
    <row r="7" ht="13.55" customHeight="1">
      <c r="A7" t="s" s="55">
        <v>25</v>
      </c>
      <c r="B7" t="s" s="55">
        <v>84</v>
      </c>
      <c r="C7" t="s" s="55">
        <v>85</v>
      </c>
      <c r="D7" t="s" s="55">
        <v>27</v>
      </c>
      <c r="E7" t="s" s="55">
        <v>32</v>
      </c>
      <c r="F7" t="s" s="55">
        <v>86</v>
      </c>
      <c r="G7" t="s" s="55">
        <v>33</v>
      </c>
      <c r="H7" t="s" s="55">
        <v>34</v>
      </c>
      <c r="I7" t="s" s="55">
        <v>87</v>
      </c>
      <c r="J7" t="s" s="55">
        <v>88</v>
      </c>
      <c r="K7" t="s" s="55">
        <v>35</v>
      </c>
      <c r="L7" t="s" s="55">
        <v>89</v>
      </c>
      <c r="M7" t="s" s="55">
        <v>36</v>
      </c>
      <c r="N7" t="s" s="55">
        <v>37</v>
      </c>
      <c r="O7" t="s" s="55">
        <v>38</v>
      </c>
      <c r="P7" t="s" s="55">
        <v>19</v>
      </c>
      <c r="Q7" t="s" s="55">
        <v>21</v>
      </c>
      <c r="R7" t="s" s="55">
        <v>39</v>
      </c>
      <c r="S7" s="56"/>
      <c r="T7" s="56"/>
      <c r="U7" s="56"/>
      <c r="V7" s="56"/>
      <c r="W7" s="56"/>
      <c r="X7" s="56"/>
      <c r="Y7" s="56"/>
      <c r="Z7" s="56"/>
      <c r="AA7" s="56"/>
      <c r="AB7" s="56"/>
      <c r="AC7" s="56"/>
      <c r="AD7" s="56"/>
      <c r="AE7" s="56"/>
      <c r="AF7" s="56"/>
      <c r="AG7" s="56"/>
      <c r="AH7" s="56"/>
      <c r="AI7" s="56"/>
      <c r="AJ7" s="56"/>
    </row>
    <row r="8" ht="30" customHeight="1">
      <c r="A8" t="s" s="57">
        <v>90</v>
      </c>
      <c r="B8" t="s" s="57">
        <v>91</v>
      </c>
      <c r="C8" t="s" s="57">
        <v>92</v>
      </c>
      <c r="D8" t="s" s="57">
        <v>41</v>
      </c>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row>
    <row r="9" ht="30" customHeight="1">
      <c r="A9" t="s" s="57">
        <v>93</v>
      </c>
      <c r="B9" t="s" s="57">
        <v>91</v>
      </c>
      <c r="C9" t="s" s="57">
        <v>94</v>
      </c>
      <c r="D9" t="s" s="57">
        <v>41</v>
      </c>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row>
    <row r="10" ht="30" customHeight="1">
      <c r="A10" t="s" s="57">
        <v>95</v>
      </c>
      <c r="B10" t="s" s="57">
        <v>91</v>
      </c>
      <c r="C10" t="s" s="57">
        <v>94</v>
      </c>
      <c r="D10" t="s" s="57">
        <v>48</v>
      </c>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row>
    <row r="11" ht="30" customHeight="1">
      <c r="A11" t="s" s="57">
        <v>96</v>
      </c>
      <c r="B11" t="s" s="57">
        <v>91</v>
      </c>
      <c r="C11" t="s" s="57">
        <v>92</v>
      </c>
      <c r="D11" t="s" s="57">
        <v>48</v>
      </c>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row>
    <row r="12" ht="30" customHeight="1">
      <c r="A12" t="s" s="57">
        <v>97</v>
      </c>
      <c r="B12" t="s" s="57">
        <v>91</v>
      </c>
      <c r="C12" t="s" s="57">
        <v>94</v>
      </c>
      <c r="D12" t="s" s="57">
        <v>51</v>
      </c>
      <c r="E12" s="58"/>
      <c r="F12" s="58"/>
      <c r="G12" s="58"/>
      <c r="H12" s="58"/>
      <c r="I12" s="58"/>
      <c r="J12" s="58"/>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row>
    <row r="13" ht="30" customHeight="1">
      <c r="A13" t="s" s="57">
        <v>98</v>
      </c>
      <c r="B13" t="s" s="57">
        <v>91</v>
      </c>
      <c r="C13" t="s" s="57">
        <v>92</v>
      </c>
      <c r="D13" t="s" s="57">
        <v>51</v>
      </c>
      <c r="E13" s="58"/>
      <c r="F13" s="58"/>
      <c r="G13" s="58"/>
      <c r="H13" s="58"/>
      <c r="I13" s="58"/>
      <c r="J13" s="58"/>
      <c r="K13" s="58"/>
      <c r="L13" s="58"/>
      <c r="M13" s="58"/>
      <c r="N13" s="58"/>
      <c r="O13" s="58"/>
      <c r="P13" s="58"/>
      <c r="Q13" s="58"/>
      <c r="R13" s="58"/>
      <c r="S13" s="58"/>
      <c r="T13" s="58"/>
      <c r="U13" s="58"/>
      <c r="V13" s="58"/>
      <c r="W13" s="58"/>
      <c r="X13" s="58"/>
      <c r="Y13" s="58"/>
      <c r="Z13" s="58"/>
      <c r="AA13" s="58"/>
      <c r="AB13" s="58"/>
      <c r="AC13" s="58"/>
      <c r="AD13" s="58"/>
      <c r="AE13" s="58"/>
      <c r="AF13" s="58"/>
      <c r="AG13" s="58"/>
      <c r="AH13" s="58"/>
      <c r="AI13" s="58"/>
      <c r="AJ13" s="58"/>
    </row>
    <row r="14" ht="30" customHeight="1">
      <c r="A14" t="s" s="57">
        <v>99</v>
      </c>
      <c r="B14" t="s" s="57">
        <v>100</v>
      </c>
      <c r="C14" t="s" s="57">
        <v>101</v>
      </c>
      <c r="D14" t="s" s="57">
        <v>41</v>
      </c>
      <c r="E14" s="58"/>
      <c r="F14" s="58"/>
      <c r="G14" s="58"/>
      <c r="H14" s="58"/>
      <c r="I14" s="58"/>
      <c r="J14" s="58"/>
      <c r="K14" s="58"/>
      <c r="L14" s="58"/>
      <c r="M14" s="58"/>
      <c r="N14" s="58"/>
      <c r="O14" s="58"/>
      <c r="P14" s="58"/>
      <c r="Q14" s="58"/>
      <c r="R14" s="58"/>
      <c r="S14" s="58"/>
      <c r="T14" s="58"/>
      <c r="U14" s="58"/>
      <c r="V14" s="58"/>
      <c r="W14" s="58"/>
      <c r="X14" s="58"/>
      <c r="Y14" s="58"/>
      <c r="Z14" s="58"/>
      <c r="AA14" s="58"/>
      <c r="AB14" s="58"/>
      <c r="AC14" s="58"/>
      <c r="AD14" s="58"/>
      <c r="AE14" s="58"/>
      <c r="AF14" s="58"/>
      <c r="AG14" s="58"/>
      <c r="AH14" s="58"/>
      <c r="AI14" s="58"/>
      <c r="AJ14" s="58"/>
    </row>
    <row r="15" ht="45" customHeight="1">
      <c r="A15" t="s" s="57">
        <v>102</v>
      </c>
      <c r="B15" t="s" s="57">
        <v>100</v>
      </c>
      <c r="C15" t="s" s="57">
        <v>103</v>
      </c>
      <c r="D15" t="s" s="57">
        <v>41</v>
      </c>
      <c r="E15" s="58"/>
      <c r="F15" s="58"/>
      <c r="G15" s="58"/>
      <c r="H15" s="58"/>
      <c r="I15" s="58"/>
      <c r="J15" s="58"/>
      <c r="K15" s="58"/>
      <c r="L15" s="58"/>
      <c r="M15" s="58"/>
      <c r="N15" s="57"/>
      <c r="O15" s="58"/>
      <c r="P15" s="58"/>
      <c r="Q15" s="58"/>
      <c r="R15" s="58"/>
      <c r="S15" s="58"/>
      <c r="T15" s="58"/>
      <c r="U15" s="58"/>
      <c r="V15" s="58"/>
      <c r="W15" s="58"/>
      <c r="X15" s="58"/>
      <c r="Y15" s="58"/>
      <c r="Z15" s="58"/>
      <c r="AA15" s="58"/>
      <c r="AB15" s="58"/>
      <c r="AC15" s="58"/>
      <c r="AD15" s="58"/>
      <c r="AE15" s="58"/>
      <c r="AF15" s="58"/>
      <c r="AG15" s="58"/>
      <c r="AH15" s="58"/>
      <c r="AI15" s="58"/>
      <c r="AJ15" s="58"/>
    </row>
    <row r="16" ht="45" customHeight="1">
      <c r="A16" t="s" s="57">
        <v>104</v>
      </c>
      <c r="B16" t="s" s="57">
        <v>100</v>
      </c>
      <c r="C16" t="s" s="57">
        <v>103</v>
      </c>
      <c r="D16" t="s" s="57">
        <v>48</v>
      </c>
      <c r="E16" s="58"/>
      <c r="F16" s="58"/>
      <c r="G16" s="58"/>
      <c r="H16" s="58"/>
      <c r="I16" s="58"/>
      <c r="J16" s="58"/>
      <c r="K16" s="58"/>
      <c r="L16" s="58"/>
      <c r="M16" s="58"/>
      <c r="N16" s="57"/>
      <c r="O16" s="58"/>
      <c r="P16" s="58"/>
      <c r="Q16" s="58"/>
      <c r="R16" s="58"/>
      <c r="S16" s="58"/>
      <c r="T16" s="58"/>
      <c r="U16" s="58"/>
      <c r="V16" s="58"/>
      <c r="W16" s="58"/>
      <c r="X16" s="58"/>
      <c r="Y16" s="58"/>
      <c r="Z16" s="58"/>
      <c r="AA16" s="58"/>
      <c r="AB16" s="58"/>
      <c r="AC16" s="58"/>
      <c r="AD16" s="58"/>
      <c r="AE16" s="58"/>
      <c r="AF16" s="58"/>
      <c r="AG16" s="58"/>
      <c r="AH16" s="58"/>
      <c r="AI16" s="58"/>
      <c r="AJ16" s="58"/>
    </row>
    <row r="17" ht="45" customHeight="1">
      <c r="A17" t="s" s="57">
        <v>105</v>
      </c>
      <c r="B17" t="s" s="57">
        <v>100</v>
      </c>
      <c r="C17" t="s" s="57">
        <v>101</v>
      </c>
      <c r="D17" t="s" s="57">
        <v>48</v>
      </c>
      <c r="E17" s="58"/>
      <c r="F17" s="58"/>
      <c r="G17" s="58"/>
      <c r="H17" s="58"/>
      <c r="I17" s="58"/>
      <c r="J17" s="58"/>
      <c r="K17" s="58"/>
      <c r="L17" s="58"/>
      <c r="M17" s="58"/>
      <c r="N17" s="57"/>
      <c r="O17" s="58"/>
      <c r="P17" s="58"/>
      <c r="Q17" s="58"/>
      <c r="R17" s="58"/>
      <c r="S17" s="58"/>
      <c r="T17" s="58"/>
      <c r="U17" s="58"/>
      <c r="V17" s="58"/>
      <c r="W17" s="58"/>
      <c r="X17" s="58"/>
      <c r="Y17" s="58"/>
      <c r="Z17" s="58"/>
      <c r="AA17" s="58"/>
      <c r="AB17" s="58"/>
      <c r="AC17" s="58"/>
      <c r="AD17" s="58"/>
      <c r="AE17" s="58"/>
      <c r="AF17" s="58"/>
      <c r="AG17" s="58"/>
      <c r="AH17" s="58"/>
      <c r="AI17" s="58"/>
      <c r="AJ17" s="58"/>
    </row>
    <row r="18" ht="45" customHeight="1">
      <c r="A18" t="s" s="57">
        <v>106</v>
      </c>
      <c r="B18" t="s" s="57">
        <v>100</v>
      </c>
      <c r="C18" t="s" s="57">
        <v>103</v>
      </c>
      <c r="D18" t="s" s="57">
        <v>51</v>
      </c>
      <c r="E18" s="58"/>
      <c r="F18" s="58"/>
      <c r="G18" s="58"/>
      <c r="H18" s="58"/>
      <c r="I18" s="58"/>
      <c r="J18" s="58"/>
      <c r="K18" s="58"/>
      <c r="L18" s="58"/>
      <c r="M18" s="58"/>
      <c r="N18" s="57"/>
      <c r="O18" s="58"/>
      <c r="P18" s="58"/>
      <c r="Q18" s="58"/>
      <c r="R18" s="58"/>
      <c r="S18" s="58"/>
      <c r="T18" s="58"/>
      <c r="U18" s="58"/>
      <c r="V18" s="58"/>
      <c r="W18" s="58"/>
      <c r="X18" s="58"/>
      <c r="Y18" s="58"/>
      <c r="Z18" s="58"/>
      <c r="AA18" s="58"/>
      <c r="AB18" s="58"/>
      <c r="AC18" s="58"/>
      <c r="AD18" s="58"/>
      <c r="AE18" s="58"/>
      <c r="AF18" s="58"/>
      <c r="AG18" s="58"/>
      <c r="AH18" s="58"/>
      <c r="AI18" s="58"/>
      <c r="AJ18" s="58"/>
    </row>
    <row r="19" ht="45" customHeight="1">
      <c r="A19" t="s" s="57">
        <v>107</v>
      </c>
      <c r="B19" t="s" s="57">
        <v>100</v>
      </c>
      <c r="C19" t="s" s="57">
        <v>101</v>
      </c>
      <c r="D19" t="s" s="57">
        <v>51</v>
      </c>
      <c r="E19" s="58"/>
      <c r="F19" s="58"/>
      <c r="G19" s="58"/>
      <c r="H19" s="58"/>
      <c r="I19" s="58"/>
      <c r="J19" s="58"/>
      <c r="K19" s="58"/>
      <c r="L19" s="58"/>
      <c r="M19" s="58"/>
      <c r="N19" s="57"/>
      <c r="O19" s="58"/>
      <c r="P19" s="58"/>
      <c r="Q19" s="58"/>
      <c r="R19" s="58"/>
      <c r="S19" s="58"/>
      <c r="T19" s="58"/>
      <c r="U19" s="58"/>
      <c r="V19" s="58"/>
      <c r="W19" s="58"/>
      <c r="X19" s="58"/>
      <c r="Y19" s="58"/>
      <c r="Z19" s="58"/>
      <c r="AA19" s="58"/>
      <c r="AB19" s="58"/>
      <c r="AC19" s="58"/>
      <c r="AD19" s="58"/>
      <c r="AE19" s="58"/>
      <c r="AF19" s="58"/>
      <c r="AG19" s="58"/>
      <c r="AH19" s="58"/>
      <c r="AI19" s="58"/>
      <c r="AJ19" s="58"/>
    </row>
    <row r="20" ht="24.45" customHeight="1">
      <c r="A20" t="s" s="57">
        <v>108</v>
      </c>
      <c r="B20" t="s" s="57">
        <v>109</v>
      </c>
      <c r="C20" t="s" s="57">
        <v>110</v>
      </c>
      <c r="D20" t="s" s="57">
        <v>41</v>
      </c>
      <c r="E20" s="58"/>
      <c r="F20" s="58"/>
      <c r="G20" s="58"/>
      <c r="H20" s="58"/>
      <c r="I20" s="58"/>
      <c r="J20" s="58"/>
      <c r="K20" s="58"/>
      <c r="L20" s="58"/>
      <c r="M20" s="58"/>
      <c r="N20" s="58"/>
      <c r="O20" s="58"/>
      <c r="P20" s="58"/>
      <c r="Q20" s="58"/>
      <c r="R20" s="58"/>
      <c r="S20" s="58"/>
      <c r="T20" s="58"/>
      <c r="U20" s="58"/>
      <c r="V20" s="58"/>
      <c r="W20" s="58"/>
      <c r="X20" s="58"/>
      <c r="Y20" s="58"/>
      <c r="Z20" s="58"/>
      <c r="AA20" s="58"/>
      <c r="AB20" s="58"/>
      <c r="AC20" s="58"/>
      <c r="AD20" s="58"/>
      <c r="AE20" s="58"/>
      <c r="AF20" s="58"/>
      <c r="AG20" s="58"/>
      <c r="AH20" s="58"/>
      <c r="AI20" s="58"/>
      <c r="AJ20" s="58"/>
    </row>
    <row r="21" ht="24.45" customHeight="1">
      <c r="A21" t="s" s="57">
        <v>111</v>
      </c>
      <c r="B21" t="s" s="57">
        <v>109</v>
      </c>
      <c r="C21" t="s" s="57">
        <v>112</v>
      </c>
      <c r="D21" t="s" s="57">
        <v>41</v>
      </c>
      <c r="E21" s="58"/>
      <c r="F21" s="58"/>
      <c r="G21" s="58"/>
      <c r="H21" s="58"/>
      <c r="I21" s="58"/>
      <c r="J21" s="58"/>
      <c r="K21" s="58"/>
      <c r="L21" s="58"/>
      <c r="M21" s="58"/>
      <c r="N21" s="58"/>
      <c r="O21" s="58"/>
      <c r="P21" s="58"/>
      <c r="Q21" s="58"/>
      <c r="R21" s="58"/>
      <c r="S21" s="58"/>
      <c r="T21" s="58"/>
      <c r="U21" s="58"/>
      <c r="V21" s="58"/>
      <c r="W21" s="58"/>
      <c r="X21" s="58"/>
      <c r="Y21" s="58"/>
      <c r="Z21" s="58"/>
      <c r="AA21" s="58"/>
      <c r="AB21" s="58"/>
      <c r="AC21" s="58"/>
      <c r="AD21" s="58"/>
      <c r="AE21" s="58"/>
      <c r="AF21" s="58"/>
      <c r="AG21" s="58"/>
      <c r="AH21" s="58"/>
      <c r="AI21" s="58"/>
      <c r="AJ21" s="58"/>
    </row>
    <row r="22" ht="24.45" customHeight="1">
      <c r="A22" t="s" s="57">
        <v>113</v>
      </c>
      <c r="B22" t="s" s="57">
        <v>109</v>
      </c>
      <c r="C22" t="s" s="57">
        <v>110</v>
      </c>
      <c r="D22" t="s" s="57">
        <v>48</v>
      </c>
      <c r="E22" s="58"/>
      <c r="F22" s="58"/>
      <c r="G22" s="58"/>
      <c r="H22" s="58"/>
      <c r="I22" s="58"/>
      <c r="J22" s="58"/>
      <c r="K22" s="58"/>
      <c r="L22" s="58"/>
      <c r="M22" s="58"/>
      <c r="N22" s="58"/>
      <c r="O22" s="58"/>
      <c r="P22" s="58"/>
      <c r="Q22" s="58"/>
      <c r="R22" s="58"/>
      <c r="S22" s="58"/>
      <c r="T22" s="58"/>
      <c r="U22" s="58"/>
      <c r="V22" s="58"/>
      <c r="W22" s="58"/>
      <c r="X22" s="58"/>
      <c r="Y22" s="58"/>
      <c r="Z22" s="58"/>
      <c r="AA22" s="58"/>
      <c r="AB22" s="58"/>
      <c r="AC22" s="58"/>
      <c r="AD22" s="58"/>
      <c r="AE22" s="58"/>
      <c r="AF22" s="58"/>
      <c r="AG22" s="58"/>
      <c r="AH22" s="58"/>
      <c r="AI22" s="58"/>
      <c r="AJ22" s="58"/>
    </row>
    <row r="23" ht="24.45" customHeight="1">
      <c r="A23" t="s" s="57">
        <v>114</v>
      </c>
      <c r="B23" t="s" s="57">
        <v>109</v>
      </c>
      <c r="C23" t="s" s="57">
        <v>112</v>
      </c>
      <c r="D23" t="s" s="57">
        <v>48</v>
      </c>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row>
    <row r="24" ht="24.45" customHeight="1">
      <c r="A24" t="s" s="57">
        <v>113</v>
      </c>
      <c r="B24" t="s" s="57">
        <v>109</v>
      </c>
      <c r="C24" t="s" s="57">
        <v>115</v>
      </c>
      <c r="D24" t="s" s="57">
        <v>51</v>
      </c>
      <c r="E24" s="58"/>
      <c r="F24" s="58"/>
      <c r="G24" s="58"/>
      <c r="H24" s="58"/>
      <c r="I24" s="58"/>
      <c r="J24" s="58"/>
      <c r="K24" s="58"/>
      <c r="L24" s="58"/>
      <c r="M24" s="58"/>
      <c r="N24" s="58"/>
      <c r="O24" s="58"/>
      <c r="P24" s="58"/>
      <c r="Q24" s="58"/>
      <c r="R24" s="58"/>
      <c r="S24" s="58"/>
      <c r="T24" s="58"/>
      <c r="U24" s="58"/>
      <c r="V24" s="58"/>
      <c r="W24" s="58"/>
      <c r="X24" s="58"/>
      <c r="Y24" s="58"/>
      <c r="Z24" s="58"/>
      <c r="AA24" s="58"/>
      <c r="AB24" s="58"/>
      <c r="AC24" s="58"/>
      <c r="AD24" s="58"/>
      <c r="AE24" s="58"/>
      <c r="AF24" s="58"/>
      <c r="AG24" s="58"/>
      <c r="AH24" s="58"/>
      <c r="AI24" s="58"/>
      <c r="AJ24" s="58"/>
    </row>
    <row r="25" ht="24.8" customHeight="1">
      <c r="A25" t="s" s="57">
        <v>114</v>
      </c>
      <c r="B25" t="s" s="57">
        <v>109</v>
      </c>
      <c r="C25" t="s" s="57">
        <v>115</v>
      </c>
      <c r="D25" t="s" s="57">
        <v>56</v>
      </c>
      <c r="E25" s="58"/>
      <c r="F25" s="58"/>
      <c r="G25" s="58"/>
      <c r="H25" s="58"/>
      <c r="I25" s="58"/>
      <c r="J25" s="58"/>
      <c r="K25" s="58"/>
      <c r="L25" s="58"/>
      <c r="M25" s="58"/>
      <c r="N25" s="58"/>
      <c r="O25" s="58"/>
      <c r="P25" s="58"/>
      <c r="Q25" s="58"/>
      <c r="R25" s="58"/>
      <c r="S25" s="58"/>
      <c r="T25" s="58"/>
      <c r="U25" s="58"/>
      <c r="V25" s="58"/>
      <c r="W25" s="58"/>
      <c r="X25" s="58"/>
      <c r="Y25" s="58"/>
      <c r="Z25" s="58"/>
      <c r="AA25" s="58"/>
      <c r="AB25" s="58"/>
      <c r="AC25" s="58"/>
      <c r="AD25" s="58"/>
      <c r="AE25" s="58"/>
      <c r="AF25" s="58"/>
      <c r="AG25" s="58"/>
      <c r="AH25" s="58"/>
      <c r="AI25" s="58"/>
      <c r="AJ25" s="58"/>
    </row>
    <row r="26" ht="24.8" customHeight="1">
      <c r="A26" s="57"/>
      <c r="B26" s="57"/>
      <c r="C26" s="57"/>
      <c r="D26" s="57"/>
      <c r="E26" s="58"/>
      <c r="F26" s="58"/>
      <c r="G26" s="58"/>
      <c r="H26" s="58"/>
      <c r="I26" s="58"/>
      <c r="J26" s="58"/>
      <c r="K26" s="58"/>
      <c r="L26" s="58"/>
      <c r="M26" s="58"/>
      <c r="N26" s="58"/>
      <c r="O26" s="58"/>
      <c r="P26" s="58"/>
      <c r="Q26" s="58"/>
      <c r="R26" s="58"/>
      <c r="S26" s="58"/>
      <c r="T26" s="58"/>
      <c r="U26" s="58"/>
      <c r="V26" s="58"/>
      <c r="W26" s="58"/>
      <c r="X26" s="58"/>
      <c r="Y26" s="58"/>
      <c r="Z26" s="58"/>
      <c r="AA26" s="58"/>
      <c r="AB26" s="58"/>
      <c r="AC26" s="58"/>
      <c r="AD26" s="58"/>
      <c r="AE26" s="58"/>
      <c r="AF26" s="58"/>
      <c r="AG26" s="58"/>
      <c r="AH26" s="58"/>
      <c r="AI26" s="58"/>
      <c r="AJ26" s="58"/>
    </row>
    <row r="27" ht="30" customHeight="1">
      <c r="A27" t="s" s="57">
        <v>116</v>
      </c>
      <c r="B27" t="s" s="57">
        <v>117</v>
      </c>
      <c r="C27" t="s" s="57">
        <v>118</v>
      </c>
      <c r="D27" t="s" s="57">
        <v>41</v>
      </c>
      <c r="E27" s="58"/>
      <c r="F27" s="58"/>
      <c r="G27" s="58"/>
      <c r="H27" s="58"/>
      <c r="I27" s="58"/>
      <c r="J27" s="58"/>
      <c r="K27" s="58"/>
      <c r="L27" s="58"/>
      <c r="M27" s="58"/>
      <c r="N27" s="58"/>
      <c r="O27" s="58"/>
      <c r="P27" s="58"/>
      <c r="Q27" s="58"/>
      <c r="R27" s="58"/>
      <c r="S27" s="58"/>
      <c r="T27" s="58"/>
      <c r="U27" s="58"/>
      <c r="V27" s="58"/>
      <c r="W27" s="58"/>
      <c r="X27" s="58"/>
      <c r="Y27" s="58"/>
      <c r="Z27" s="58"/>
      <c r="AA27" s="58"/>
      <c r="AB27" s="58"/>
      <c r="AC27" s="58"/>
      <c r="AD27" s="58"/>
      <c r="AE27" s="58"/>
      <c r="AF27" s="58"/>
      <c r="AG27" s="58"/>
      <c r="AH27" s="58"/>
      <c r="AI27" s="58"/>
      <c r="AJ27" s="58"/>
    </row>
    <row r="28" ht="30" customHeight="1">
      <c r="A28" t="s" s="57">
        <v>119</v>
      </c>
      <c r="B28" t="s" s="57">
        <v>117</v>
      </c>
      <c r="C28" t="s" s="57">
        <v>120</v>
      </c>
      <c r="D28" t="s" s="57">
        <v>41</v>
      </c>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row>
    <row r="29" ht="30" customHeight="1">
      <c r="A29" t="s" s="57">
        <v>121</v>
      </c>
      <c r="B29" t="s" s="57">
        <v>117</v>
      </c>
      <c r="C29" t="s" s="57">
        <v>118</v>
      </c>
      <c r="D29" t="s" s="57">
        <v>48</v>
      </c>
      <c r="E29" s="58"/>
      <c r="F29" s="58"/>
      <c r="G29" s="58"/>
      <c r="H29" s="58"/>
      <c r="I29" s="58"/>
      <c r="J29" s="58"/>
      <c r="K29" s="58"/>
      <c r="L29" s="58"/>
      <c r="M29" s="58"/>
      <c r="N29" s="58"/>
      <c r="O29" s="58"/>
      <c r="P29" s="58"/>
      <c r="Q29" s="58"/>
      <c r="R29" s="58"/>
      <c r="S29" s="58"/>
      <c r="T29" s="58"/>
      <c r="U29" s="58"/>
      <c r="V29" s="58"/>
      <c r="W29" s="58"/>
      <c r="X29" s="58"/>
      <c r="Y29" s="58"/>
      <c r="Z29" s="58"/>
      <c r="AA29" s="58"/>
      <c r="AB29" s="58"/>
      <c r="AC29" s="58"/>
      <c r="AD29" s="58"/>
      <c r="AE29" s="58"/>
      <c r="AF29" s="58"/>
      <c r="AG29" s="58"/>
      <c r="AH29" s="58"/>
      <c r="AI29" s="58"/>
      <c r="AJ29" s="58"/>
    </row>
    <row r="30" ht="30" customHeight="1">
      <c r="A30" t="s" s="57">
        <v>122</v>
      </c>
      <c r="B30" t="s" s="57">
        <v>117</v>
      </c>
      <c r="C30" t="s" s="57">
        <v>120</v>
      </c>
      <c r="D30" t="s" s="57">
        <v>48</v>
      </c>
      <c r="E30" s="58"/>
      <c r="F30" s="58"/>
      <c r="G30" s="58"/>
      <c r="H30" s="58"/>
      <c r="I30" s="58"/>
      <c r="J30" s="58"/>
      <c r="K30" s="58"/>
      <c r="L30" s="58"/>
      <c r="M30" s="58"/>
      <c r="N30" s="58"/>
      <c r="O30" s="58"/>
      <c r="P30" s="58"/>
      <c r="Q30" s="58"/>
      <c r="R30" s="58"/>
      <c r="S30" s="58"/>
      <c r="T30" s="58"/>
      <c r="U30" s="58"/>
      <c r="V30" s="58"/>
      <c r="W30" s="58"/>
      <c r="X30" s="58"/>
      <c r="Y30" s="58"/>
      <c r="Z30" s="58"/>
      <c r="AA30" s="58"/>
      <c r="AB30" s="58"/>
      <c r="AC30" s="58"/>
      <c r="AD30" s="58"/>
      <c r="AE30" s="58"/>
      <c r="AF30" s="58"/>
      <c r="AG30" s="58"/>
      <c r="AH30" s="58"/>
      <c r="AI30" s="58"/>
      <c r="AJ30" s="58"/>
    </row>
    <row r="31" ht="30" customHeight="1">
      <c r="A31" t="s" s="57">
        <v>123</v>
      </c>
      <c r="B31" t="s" s="57">
        <v>117</v>
      </c>
      <c r="C31" t="s" s="57">
        <v>124</v>
      </c>
      <c r="D31" t="s" s="57">
        <v>41</v>
      </c>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row>
    <row r="32" ht="30" customHeight="1">
      <c r="A32" t="s" s="57">
        <v>125</v>
      </c>
      <c r="B32" t="s" s="57">
        <v>117</v>
      </c>
      <c r="C32" t="s" s="57">
        <v>124</v>
      </c>
      <c r="D32" t="s" s="57">
        <v>48</v>
      </c>
      <c r="E32" s="58"/>
      <c r="F32" s="58"/>
      <c r="G32" s="58"/>
      <c r="H32" s="58"/>
      <c r="I32" s="58"/>
      <c r="J32" s="58"/>
      <c r="K32" s="58"/>
      <c r="L32" s="58"/>
      <c r="M32" s="58"/>
      <c r="N32" s="58"/>
      <c r="O32" s="58"/>
      <c r="P32" s="58"/>
      <c r="Q32" s="58"/>
      <c r="R32" s="58"/>
      <c r="S32" s="58"/>
      <c r="T32" s="58"/>
      <c r="U32" s="58"/>
      <c r="V32" s="58"/>
      <c r="W32" s="58"/>
      <c r="X32" s="58"/>
      <c r="Y32" s="58"/>
      <c r="Z32" s="58"/>
      <c r="AA32" s="58"/>
      <c r="AB32" s="58"/>
      <c r="AC32" s="58"/>
      <c r="AD32" s="58"/>
      <c r="AE32" s="58"/>
      <c r="AF32" s="58"/>
      <c r="AG32" s="58"/>
      <c r="AH32" s="58"/>
      <c r="AI32" s="58"/>
      <c r="AJ32" s="58"/>
    </row>
    <row r="33" ht="30" customHeight="1">
      <c r="A33" t="s" s="57">
        <v>126</v>
      </c>
      <c r="B33" t="s" s="57">
        <v>117</v>
      </c>
      <c r="C33" t="s" s="57">
        <v>118</v>
      </c>
      <c r="D33" t="s" s="57">
        <v>51</v>
      </c>
      <c r="E33" s="58"/>
      <c r="F33" s="58"/>
      <c r="G33" s="58"/>
      <c r="H33" s="58"/>
      <c r="I33" s="58"/>
      <c r="J33" s="58"/>
      <c r="K33" s="58"/>
      <c r="L33" s="58"/>
      <c r="M33" s="58"/>
      <c r="N33" s="58"/>
      <c r="O33" s="58"/>
      <c r="P33" s="58"/>
      <c r="Q33" s="58"/>
      <c r="R33" s="58"/>
      <c r="S33" s="58"/>
      <c r="T33" s="58"/>
      <c r="U33" s="58"/>
      <c r="V33" s="58"/>
      <c r="W33" s="58"/>
      <c r="X33" s="58"/>
      <c r="Y33" s="58"/>
      <c r="Z33" s="58"/>
      <c r="AA33" s="58"/>
      <c r="AB33" s="58"/>
      <c r="AC33" s="58"/>
      <c r="AD33" s="58"/>
      <c r="AE33" s="58"/>
      <c r="AF33" s="58"/>
      <c r="AG33" s="58"/>
      <c r="AH33" s="58"/>
      <c r="AI33" s="58"/>
      <c r="AJ33" s="58"/>
    </row>
    <row r="34" ht="30" customHeight="1">
      <c r="A34" t="s" s="57">
        <v>127</v>
      </c>
      <c r="B34" t="s" s="57">
        <v>117</v>
      </c>
      <c r="C34" t="s" s="57">
        <v>120</v>
      </c>
      <c r="D34" t="s" s="57">
        <v>51</v>
      </c>
      <c r="E34" s="58"/>
      <c r="F34" s="58"/>
      <c r="G34" s="58"/>
      <c r="H34" s="58"/>
      <c r="I34" s="58"/>
      <c r="J34" s="58"/>
      <c r="K34" s="58"/>
      <c r="L34" s="58"/>
      <c r="M34" s="58"/>
      <c r="N34" s="58"/>
      <c r="O34" s="58"/>
      <c r="P34" s="58"/>
      <c r="Q34" s="58"/>
      <c r="R34" s="58"/>
      <c r="S34" s="58"/>
      <c r="T34" s="58"/>
      <c r="U34" s="58"/>
      <c r="V34" s="58"/>
      <c r="W34" s="58"/>
      <c r="X34" s="58"/>
      <c r="Y34" s="58"/>
      <c r="Z34" s="58"/>
      <c r="AA34" s="58"/>
      <c r="AB34" s="58"/>
      <c r="AC34" s="58"/>
      <c r="AD34" s="58"/>
      <c r="AE34" s="58"/>
      <c r="AF34" s="58"/>
      <c r="AG34" s="58"/>
      <c r="AH34" s="58"/>
      <c r="AI34" s="58"/>
      <c r="AJ34" s="58"/>
    </row>
    <row r="35" ht="30" customHeight="1">
      <c r="A35" t="s" s="57">
        <v>128</v>
      </c>
      <c r="B35" t="s" s="57">
        <v>117</v>
      </c>
      <c r="C35" t="s" s="57">
        <v>124</v>
      </c>
      <c r="D35" t="s" s="57">
        <v>51</v>
      </c>
      <c r="E35" s="58"/>
      <c r="F35" s="58"/>
      <c r="G35" s="58"/>
      <c r="H35" s="58"/>
      <c r="I35" s="58"/>
      <c r="J35" s="58"/>
      <c r="K35" s="58"/>
      <c r="L35" s="58"/>
      <c r="M35" s="58"/>
      <c r="N35" s="58"/>
      <c r="O35" s="58"/>
      <c r="P35" s="58"/>
      <c r="Q35" s="58"/>
      <c r="R35" s="58"/>
      <c r="S35" s="58"/>
      <c r="T35" s="58"/>
      <c r="U35" s="58"/>
      <c r="V35" s="58"/>
      <c r="W35" s="58"/>
      <c r="X35" s="58"/>
      <c r="Y35" s="58"/>
      <c r="Z35" s="58"/>
      <c r="AA35" s="58"/>
      <c r="AB35" s="58"/>
      <c r="AC35" s="58"/>
      <c r="AD35" s="58"/>
      <c r="AE35" s="58"/>
      <c r="AF35" s="58"/>
      <c r="AG35" s="58"/>
      <c r="AH35" s="58"/>
      <c r="AI35" s="58"/>
      <c r="AJ35" s="58"/>
    </row>
    <row r="36" ht="30" customHeight="1">
      <c r="A36" s="57"/>
      <c r="B36" s="57"/>
      <c r="C36" s="57"/>
      <c r="D36" s="57"/>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row>
    <row r="37" ht="29.5" customHeight="1">
      <c r="A37" t="s" s="57">
        <v>129</v>
      </c>
      <c r="B37" t="s" s="57">
        <v>130</v>
      </c>
      <c r="C37" t="s" s="57">
        <v>130</v>
      </c>
      <c r="D37" t="s" s="57">
        <v>41</v>
      </c>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row>
    <row r="38" ht="29.5" customHeight="1">
      <c r="A38" t="s" s="57">
        <v>131</v>
      </c>
      <c r="B38" t="s" s="57">
        <v>130</v>
      </c>
      <c r="C38" t="s" s="57">
        <v>130</v>
      </c>
      <c r="D38" t="s" s="57">
        <v>48</v>
      </c>
      <c r="E38" s="58"/>
      <c r="F38" s="58"/>
      <c r="G38" s="58"/>
      <c r="H38" s="58"/>
      <c r="I38" s="58"/>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58"/>
      <c r="AI38" s="58"/>
      <c r="AJ38" s="58"/>
    </row>
    <row r="39" ht="29.5" customHeight="1">
      <c r="A39" t="s" s="57">
        <v>132</v>
      </c>
      <c r="B39" t="s" s="57">
        <v>130</v>
      </c>
      <c r="C39" t="s" s="57">
        <v>130</v>
      </c>
      <c r="D39" t="s" s="57">
        <v>51</v>
      </c>
      <c r="E39" s="58"/>
      <c r="F39" s="58"/>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c r="AF39" s="58"/>
      <c r="AG39" s="58"/>
      <c r="AH39" s="58"/>
      <c r="AI39" s="58"/>
      <c r="AJ39" s="58"/>
    </row>
    <row r="40" ht="29.5" customHeight="1">
      <c r="A40" s="57"/>
      <c r="B40" s="57"/>
      <c r="C40" s="57"/>
      <c r="D40" s="57"/>
      <c r="E40" s="58"/>
      <c r="F40" s="5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58"/>
      <c r="AG40" s="58"/>
      <c r="AH40" s="58"/>
      <c r="AI40" s="58"/>
      <c r="AJ40" s="58"/>
    </row>
    <row r="41" ht="30" customHeight="1">
      <c r="A41" t="s" s="57">
        <v>133</v>
      </c>
      <c r="B41" t="s" s="57">
        <v>134</v>
      </c>
      <c r="C41" t="s" s="57">
        <v>135</v>
      </c>
      <c r="D41" t="s" s="57">
        <v>41</v>
      </c>
      <c r="E41" s="58"/>
      <c r="F41" s="58"/>
      <c r="G41" s="58"/>
      <c r="H41" s="58"/>
      <c r="I41" s="58"/>
      <c r="J41" s="58"/>
      <c r="K41" s="58"/>
      <c r="L41" s="58"/>
      <c r="M41" s="58"/>
      <c r="N41" s="58"/>
      <c r="O41" s="58"/>
      <c r="P41" s="58"/>
      <c r="Q41" s="58"/>
      <c r="R41" s="58"/>
      <c r="S41" s="58"/>
      <c r="T41" s="58"/>
      <c r="U41" s="58"/>
      <c r="V41" s="58"/>
      <c r="W41" s="58"/>
      <c r="X41" s="58"/>
      <c r="Y41" s="58"/>
      <c r="Z41" s="58"/>
      <c r="AA41" s="58"/>
      <c r="AB41" s="58"/>
      <c r="AC41" s="58"/>
      <c r="AD41" s="58"/>
      <c r="AE41" s="58"/>
      <c r="AF41" s="58"/>
      <c r="AG41" s="58"/>
      <c r="AH41" s="58"/>
      <c r="AI41" s="58"/>
      <c r="AJ41" s="58"/>
    </row>
    <row r="42" ht="30" customHeight="1">
      <c r="A42" t="s" s="57">
        <v>136</v>
      </c>
      <c r="B42" t="s" s="57">
        <v>134</v>
      </c>
      <c r="C42" t="s" s="57">
        <v>137</v>
      </c>
      <c r="D42" t="s" s="57">
        <v>41</v>
      </c>
      <c r="E42" s="58"/>
      <c r="F42" s="58"/>
      <c r="G42" s="58"/>
      <c r="H42" s="58"/>
      <c r="I42" s="58"/>
      <c r="J42" s="58"/>
      <c r="K42" s="58"/>
      <c r="L42" s="58"/>
      <c r="M42" s="58"/>
      <c r="N42" s="58"/>
      <c r="O42" s="58"/>
      <c r="P42" s="58"/>
      <c r="Q42" s="58"/>
      <c r="R42" s="58"/>
      <c r="S42" s="58"/>
      <c r="T42" s="58"/>
      <c r="U42" s="58"/>
      <c r="V42" s="58"/>
      <c r="W42" s="58"/>
      <c r="X42" s="58"/>
      <c r="Y42" s="58"/>
      <c r="Z42" s="58"/>
      <c r="AA42" s="58"/>
      <c r="AB42" s="58"/>
      <c r="AC42" s="58"/>
      <c r="AD42" s="58"/>
      <c r="AE42" s="58"/>
      <c r="AF42" s="58"/>
      <c r="AG42" s="58"/>
      <c r="AH42" s="58"/>
      <c r="AI42" s="58"/>
      <c r="AJ42" s="58"/>
    </row>
    <row r="43" ht="30" customHeight="1">
      <c r="A43" t="s" s="57">
        <v>138</v>
      </c>
      <c r="B43" t="s" s="57">
        <v>134</v>
      </c>
      <c r="C43" t="s" s="57">
        <v>139</v>
      </c>
      <c r="D43" t="s" s="57">
        <v>41</v>
      </c>
      <c r="E43" s="58"/>
      <c r="F43" s="58"/>
      <c r="G43" s="58"/>
      <c r="H43" s="58"/>
      <c r="I43" s="58"/>
      <c r="J43" s="58"/>
      <c r="K43" s="58"/>
      <c r="L43" s="58"/>
      <c r="M43" s="58"/>
      <c r="N43" s="58"/>
      <c r="O43" s="58"/>
      <c r="P43" s="58"/>
      <c r="Q43" s="58"/>
      <c r="R43" s="58"/>
      <c r="S43" s="58"/>
      <c r="T43" s="58"/>
      <c r="U43" s="58"/>
      <c r="V43" s="58"/>
      <c r="W43" s="58"/>
      <c r="X43" s="58"/>
      <c r="Y43" s="58"/>
      <c r="Z43" s="58"/>
      <c r="AA43" s="58"/>
      <c r="AB43" s="58"/>
      <c r="AC43" s="58"/>
      <c r="AD43" s="58"/>
      <c r="AE43" s="58"/>
      <c r="AF43" s="58"/>
      <c r="AG43" s="58"/>
      <c r="AH43" s="58"/>
      <c r="AI43" s="58"/>
      <c r="AJ43" s="58"/>
    </row>
    <row r="44" ht="30" customHeight="1">
      <c r="A44" t="s" s="57">
        <v>140</v>
      </c>
      <c r="B44" t="s" s="57">
        <v>134</v>
      </c>
      <c r="C44" t="s" s="57">
        <v>141</v>
      </c>
      <c r="D44" t="s" s="57">
        <v>41</v>
      </c>
      <c r="E44" s="58"/>
      <c r="F44" s="58"/>
      <c r="G44" s="58"/>
      <c r="H44" s="58"/>
      <c r="I44" s="58"/>
      <c r="J44" s="58"/>
      <c r="K44" s="58"/>
      <c r="L44" s="58"/>
      <c r="M44" s="58"/>
      <c r="N44" s="58"/>
      <c r="O44" s="58"/>
      <c r="P44" s="58"/>
      <c r="Q44" s="58"/>
      <c r="R44" s="58"/>
      <c r="S44" s="58"/>
      <c r="T44" s="58"/>
      <c r="U44" s="58"/>
      <c r="V44" s="58"/>
      <c r="W44" s="58"/>
      <c r="X44" s="58"/>
      <c r="Y44" s="58"/>
      <c r="Z44" s="58"/>
      <c r="AA44" s="58"/>
      <c r="AB44" s="58"/>
      <c r="AC44" s="58"/>
      <c r="AD44" s="58"/>
      <c r="AE44" s="58"/>
      <c r="AF44" s="58"/>
      <c r="AG44" s="58"/>
      <c r="AH44" s="58"/>
      <c r="AI44" s="58"/>
      <c r="AJ44" s="58"/>
    </row>
    <row r="45" ht="30" customHeight="1">
      <c r="A45" t="s" s="57">
        <v>142</v>
      </c>
      <c r="B45" t="s" s="57">
        <v>134</v>
      </c>
      <c r="C45" t="s" s="57">
        <v>143</v>
      </c>
      <c r="D45" t="s" s="57">
        <v>41</v>
      </c>
      <c r="E45" s="58"/>
      <c r="F45" s="58"/>
      <c r="G45" s="58"/>
      <c r="H45" s="58"/>
      <c r="I45" s="58"/>
      <c r="J45" s="58"/>
      <c r="K45" s="58"/>
      <c r="L45" s="58"/>
      <c r="M45" s="58"/>
      <c r="N45" s="58"/>
      <c r="O45" s="58"/>
      <c r="P45" s="58"/>
      <c r="Q45" s="58"/>
      <c r="R45" s="58"/>
      <c r="S45" s="58"/>
      <c r="T45" s="58"/>
      <c r="U45" s="58"/>
      <c r="V45" s="58"/>
      <c r="W45" s="58"/>
      <c r="X45" s="58"/>
      <c r="Y45" s="58"/>
      <c r="Z45" s="58"/>
      <c r="AA45" s="58"/>
      <c r="AB45" s="58"/>
      <c r="AC45" s="58"/>
      <c r="AD45" s="58"/>
      <c r="AE45" s="58"/>
      <c r="AF45" s="58"/>
      <c r="AG45" s="58"/>
      <c r="AH45" s="58"/>
      <c r="AI45" s="58"/>
      <c r="AJ45" s="58"/>
    </row>
    <row r="46" ht="30" customHeight="1">
      <c r="A46" t="s" s="57">
        <v>144</v>
      </c>
      <c r="B46" t="s" s="57">
        <v>134</v>
      </c>
      <c r="C46" t="s" s="57">
        <v>145</v>
      </c>
      <c r="D46" t="s" s="57">
        <v>41</v>
      </c>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8"/>
      <c r="AG46" s="58"/>
      <c r="AH46" s="58"/>
      <c r="AI46" s="58"/>
      <c r="AJ46" s="58"/>
    </row>
    <row r="47" ht="30" customHeight="1">
      <c r="A47" t="s" s="57">
        <v>146</v>
      </c>
      <c r="B47" t="s" s="57">
        <v>134</v>
      </c>
      <c r="C47" t="s" s="57">
        <v>147</v>
      </c>
      <c r="D47" t="s" s="57">
        <v>41</v>
      </c>
      <c r="E47" s="58"/>
      <c r="F47" s="58"/>
      <c r="G47" s="58"/>
      <c r="H47" s="58"/>
      <c r="I47" s="58"/>
      <c r="J47" s="58"/>
      <c r="K47" s="58"/>
      <c r="L47" s="58"/>
      <c r="M47" s="58"/>
      <c r="N47" s="58"/>
      <c r="O47" s="57"/>
      <c r="P47" s="58"/>
      <c r="Q47" s="58"/>
      <c r="R47" s="58"/>
      <c r="S47" s="58"/>
      <c r="T47" s="58"/>
      <c r="U47" s="58"/>
      <c r="V47" s="58"/>
      <c r="W47" s="58"/>
      <c r="X47" s="58"/>
      <c r="Y47" s="58"/>
      <c r="Z47" s="58"/>
      <c r="AA47" s="58"/>
      <c r="AB47" s="58"/>
      <c r="AC47" s="58"/>
      <c r="AD47" s="58"/>
      <c r="AE47" s="58"/>
      <c r="AF47" s="58"/>
      <c r="AG47" s="58"/>
      <c r="AH47" s="58"/>
      <c r="AI47" s="58"/>
      <c r="AJ47" s="58"/>
    </row>
    <row r="48" ht="30" customHeight="1">
      <c r="A48" t="s" s="59">
        <v>148</v>
      </c>
      <c r="B48" t="s" s="59">
        <v>134</v>
      </c>
      <c r="C48" t="s" s="59">
        <v>149</v>
      </c>
      <c r="D48" t="s" s="59">
        <v>41</v>
      </c>
      <c r="E48" s="60"/>
      <c r="F48" s="60"/>
      <c r="G48" s="60"/>
      <c r="H48" s="60"/>
      <c r="I48" s="60"/>
      <c r="J48" s="60"/>
      <c r="K48" s="60"/>
      <c r="L48" s="60"/>
      <c r="M48" s="60"/>
      <c r="N48" s="60"/>
      <c r="O48" s="59"/>
      <c r="P48" s="60"/>
      <c r="Q48" s="60"/>
      <c r="R48" s="60"/>
      <c r="S48" s="60"/>
      <c r="T48" s="60"/>
      <c r="U48" s="60"/>
      <c r="V48" s="60"/>
      <c r="W48" s="60"/>
      <c r="X48" s="60"/>
      <c r="Y48" s="60"/>
      <c r="Z48" s="60"/>
      <c r="AA48" s="60"/>
      <c r="AB48" s="60"/>
      <c r="AC48" s="60"/>
      <c r="AD48" s="60"/>
      <c r="AE48" s="60"/>
      <c r="AF48" s="60"/>
      <c r="AG48" s="60"/>
      <c r="AH48" s="60"/>
      <c r="AI48" s="60"/>
      <c r="AJ48" s="60"/>
    </row>
    <row r="49" ht="30" customHeight="1">
      <c r="A49" t="s" s="59">
        <v>150</v>
      </c>
      <c r="B49" t="s" s="59">
        <v>134</v>
      </c>
      <c r="C49" t="s" s="59">
        <v>151</v>
      </c>
      <c r="D49" t="s" s="59">
        <v>41</v>
      </c>
      <c r="E49" s="60"/>
      <c r="F49" s="60"/>
      <c r="G49" s="60"/>
      <c r="H49" s="60"/>
      <c r="I49" s="60"/>
      <c r="J49" s="60"/>
      <c r="K49" s="60"/>
      <c r="L49" s="60"/>
      <c r="M49" s="60"/>
      <c r="N49" s="60"/>
      <c r="O49" s="59"/>
      <c r="P49" s="60"/>
      <c r="Q49" s="60"/>
      <c r="R49" s="60"/>
      <c r="S49" s="60"/>
      <c r="T49" s="60"/>
      <c r="U49" s="60"/>
      <c r="V49" s="60"/>
      <c r="W49" s="60"/>
      <c r="X49" s="60"/>
      <c r="Y49" s="60"/>
      <c r="Z49" s="60"/>
      <c r="AA49" s="60"/>
      <c r="AB49" s="60"/>
      <c r="AC49" s="60"/>
      <c r="AD49" s="60"/>
      <c r="AE49" s="60"/>
      <c r="AF49" s="60"/>
      <c r="AG49" s="60"/>
      <c r="AH49" s="60"/>
      <c r="AI49" s="60"/>
      <c r="AJ49" s="60"/>
    </row>
    <row r="50" ht="30" customHeight="1">
      <c r="A50" t="s" s="57">
        <v>152</v>
      </c>
      <c r="B50" t="s" s="57">
        <v>134</v>
      </c>
      <c r="C50" t="s" s="57">
        <v>153</v>
      </c>
      <c r="D50" t="s" s="57">
        <v>41</v>
      </c>
      <c r="E50" s="58"/>
      <c r="F50" s="58"/>
      <c r="G50" s="58"/>
      <c r="H50" s="58"/>
      <c r="I50" s="58"/>
      <c r="J50" s="58"/>
      <c r="K50" s="58"/>
      <c r="L50" s="58"/>
      <c r="M50" s="58"/>
      <c r="N50" s="58"/>
      <c r="O50" s="57"/>
      <c r="P50" s="58"/>
      <c r="Q50" s="58"/>
      <c r="R50" s="58"/>
      <c r="S50" s="58"/>
      <c r="T50" s="58"/>
      <c r="U50" s="58"/>
      <c r="V50" s="58"/>
      <c r="W50" s="58"/>
      <c r="X50" s="58"/>
      <c r="Y50" s="58"/>
      <c r="Z50" s="58"/>
      <c r="AA50" s="58"/>
      <c r="AB50" s="58"/>
      <c r="AC50" s="58"/>
      <c r="AD50" s="58"/>
      <c r="AE50" s="58"/>
      <c r="AF50" s="58"/>
      <c r="AG50" s="58"/>
      <c r="AH50" s="58"/>
      <c r="AI50" s="58"/>
      <c r="AJ50" s="58"/>
    </row>
    <row r="51" ht="30" customHeight="1">
      <c r="A51" t="s" s="59">
        <v>154</v>
      </c>
      <c r="B51" t="s" s="59">
        <v>134</v>
      </c>
      <c r="C51" t="s" s="59">
        <v>155</v>
      </c>
      <c r="D51" t="s" s="59">
        <v>41</v>
      </c>
      <c r="E51" s="60"/>
      <c r="F51" s="60"/>
      <c r="G51" s="60"/>
      <c r="H51" s="60"/>
      <c r="I51" s="60"/>
      <c r="J51" s="60"/>
      <c r="K51" s="60"/>
      <c r="L51" s="60"/>
      <c r="M51" s="60"/>
      <c r="N51" s="60"/>
      <c r="O51" s="59"/>
      <c r="P51" s="60"/>
      <c r="Q51" s="60"/>
      <c r="R51" s="60"/>
      <c r="S51" s="60"/>
      <c r="T51" s="60"/>
      <c r="U51" s="60"/>
      <c r="V51" s="60"/>
      <c r="W51" s="60"/>
      <c r="X51" s="60"/>
      <c r="Y51" s="60"/>
      <c r="Z51" s="60"/>
      <c r="AA51" s="60"/>
      <c r="AB51" s="60"/>
      <c r="AC51" s="60"/>
      <c r="AD51" s="60"/>
      <c r="AE51" s="60"/>
      <c r="AF51" s="60"/>
      <c r="AG51" s="60"/>
      <c r="AH51" s="60"/>
      <c r="AI51" s="60"/>
      <c r="AJ51" s="60"/>
    </row>
    <row r="52" ht="30" customHeight="1">
      <c r="A52" t="s" s="59">
        <v>156</v>
      </c>
      <c r="B52" t="s" s="57">
        <v>134</v>
      </c>
      <c r="C52" t="s" s="57">
        <v>135</v>
      </c>
      <c r="D52" t="s" s="57">
        <v>48</v>
      </c>
      <c r="E52" s="60"/>
      <c r="F52" s="60"/>
      <c r="G52" s="60"/>
      <c r="H52" s="60"/>
      <c r="I52" s="60"/>
      <c r="J52" s="60"/>
      <c r="K52" s="60"/>
      <c r="L52" s="60"/>
      <c r="M52" s="60"/>
      <c r="N52" s="60"/>
      <c r="O52" s="59"/>
      <c r="P52" s="60"/>
      <c r="Q52" s="60"/>
      <c r="R52" s="60"/>
      <c r="S52" s="60"/>
      <c r="T52" s="60"/>
      <c r="U52" s="60"/>
      <c r="V52" s="60"/>
      <c r="W52" s="60"/>
      <c r="X52" s="60"/>
      <c r="Y52" s="60"/>
      <c r="Z52" s="60"/>
      <c r="AA52" s="60"/>
      <c r="AB52" s="60"/>
      <c r="AC52" s="60"/>
      <c r="AD52" s="60"/>
      <c r="AE52" s="60"/>
      <c r="AF52" s="60"/>
      <c r="AG52" s="60"/>
      <c r="AH52" s="60"/>
      <c r="AI52" s="60"/>
      <c r="AJ52" s="60"/>
    </row>
    <row r="53" ht="30" customHeight="1">
      <c r="A53" t="s" s="59">
        <v>157</v>
      </c>
      <c r="B53" t="s" s="57">
        <v>134</v>
      </c>
      <c r="C53" t="s" s="57">
        <v>137</v>
      </c>
      <c r="D53" t="s" s="57">
        <v>48</v>
      </c>
      <c r="E53" s="60"/>
      <c r="F53" s="60"/>
      <c r="G53" s="60"/>
      <c r="H53" s="60"/>
      <c r="I53" s="60"/>
      <c r="J53" s="60"/>
      <c r="K53" s="60"/>
      <c r="L53" s="60"/>
      <c r="M53" s="60"/>
      <c r="N53" s="60"/>
      <c r="O53" s="59"/>
      <c r="P53" s="60"/>
      <c r="Q53" s="60"/>
      <c r="R53" s="60"/>
      <c r="S53" s="60"/>
      <c r="T53" s="60"/>
      <c r="U53" s="60"/>
      <c r="V53" s="60"/>
      <c r="W53" s="60"/>
      <c r="X53" s="60"/>
      <c r="Y53" s="60"/>
      <c r="Z53" s="60"/>
      <c r="AA53" s="60"/>
      <c r="AB53" s="60"/>
      <c r="AC53" s="60"/>
      <c r="AD53" s="60"/>
      <c r="AE53" s="60"/>
      <c r="AF53" s="60"/>
      <c r="AG53" s="60"/>
      <c r="AH53" s="60"/>
      <c r="AI53" s="60"/>
      <c r="AJ53" s="60"/>
    </row>
    <row r="54" ht="30" customHeight="1">
      <c r="A54" t="s" s="59">
        <v>158</v>
      </c>
      <c r="B54" t="s" s="57">
        <v>134</v>
      </c>
      <c r="C54" t="s" s="57">
        <v>139</v>
      </c>
      <c r="D54" t="s" s="57">
        <v>48</v>
      </c>
      <c r="E54" s="60"/>
      <c r="F54" s="60"/>
      <c r="G54" s="60"/>
      <c r="H54" s="60"/>
      <c r="I54" s="60"/>
      <c r="J54" s="60"/>
      <c r="K54" s="60"/>
      <c r="L54" s="60"/>
      <c r="M54" s="60"/>
      <c r="N54" s="60"/>
      <c r="O54" s="59"/>
      <c r="P54" s="60"/>
      <c r="Q54" s="60"/>
      <c r="R54" s="60"/>
      <c r="S54" s="60"/>
      <c r="T54" s="60"/>
      <c r="U54" s="60"/>
      <c r="V54" s="60"/>
      <c r="W54" s="60"/>
      <c r="X54" s="60"/>
      <c r="Y54" s="60"/>
      <c r="Z54" s="60"/>
      <c r="AA54" s="60"/>
      <c r="AB54" s="60"/>
      <c r="AC54" s="60"/>
      <c r="AD54" s="60"/>
      <c r="AE54" s="60"/>
      <c r="AF54" s="60"/>
      <c r="AG54" s="60"/>
      <c r="AH54" s="60"/>
      <c r="AI54" s="60"/>
      <c r="AJ54" s="60"/>
    </row>
    <row r="55" ht="30" customHeight="1">
      <c r="A55" t="s" s="59">
        <v>159</v>
      </c>
      <c r="B55" t="s" s="57">
        <v>134</v>
      </c>
      <c r="C55" t="s" s="57">
        <v>141</v>
      </c>
      <c r="D55" t="s" s="57">
        <v>48</v>
      </c>
      <c r="E55" s="60"/>
      <c r="F55" s="60"/>
      <c r="G55" s="60"/>
      <c r="H55" s="60"/>
      <c r="I55" s="60"/>
      <c r="J55" s="60"/>
      <c r="K55" s="60"/>
      <c r="L55" s="60"/>
      <c r="M55" s="60"/>
      <c r="N55" s="60"/>
      <c r="O55" s="59"/>
      <c r="P55" s="60"/>
      <c r="Q55" s="60"/>
      <c r="R55" s="60"/>
      <c r="S55" s="60"/>
      <c r="T55" s="60"/>
      <c r="U55" s="60"/>
      <c r="V55" s="60"/>
      <c r="W55" s="60"/>
      <c r="X55" s="60"/>
      <c r="Y55" s="60"/>
      <c r="Z55" s="60"/>
      <c r="AA55" s="60"/>
      <c r="AB55" s="60"/>
      <c r="AC55" s="60"/>
      <c r="AD55" s="60"/>
      <c r="AE55" s="60"/>
      <c r="AF55" s="60"/>
      <c r="AG55" s="60"/>
      <c r="AH55" s="60"/>
      <c r="AI55" s="60"/>
      <c r="AJ55" s="60"/>
    </row>
    <row r="56" ht="30" customHeight="1">
      <c r="A56" t="s" s="59">
        <v>160</v>
      </c>
      <c r="B56" t="s" s="57">
        <v>134</v>
      </c>
      <c r="C56" t="s" s="57">
        <v>143</v>
      </c>
      <c r="D56" t="s" s="57">
        <v>48</v>
      </c>
      <c r="E56" s="60"/>
      <c r="F56" s="60"/>
      <c r="G56" s="60"/>
      <c r="H56" s="60"/>
      <c r="I56" s="60"/>
      <c r="J56" s="60"/>
      <c r="K56" s="60"/>
      <c r="L56" s="60"/>
      <c r="M56" s="60"/>
      <c r="N56" s="60"/>
      <c r="O56" s="59"/>
      <c r="P56" s="60"/>
      <c r="Q56" s="60"/>
      <c r="R56" s="60"/>
      <c r="S56" s="60"/>
      <c r="T56" s="60"/>
      <c r="U56" s="60"/>
      <c r="V56" s="60"/>
      <c r="W56" s="60"/>
      <c r="X56" s="60"/>
      <c r="Y56" s="60"/>
      <c r="Z56" s="60"/>
      <c r="AA56" s="60"/>
      <c r="AB56" s="60"/>
      <c r="AC56" s="60"/>
      <c r="AD56" s="60"/>
      <c r="AE56" s="60"/>
      <c r="AF56" s="60"/>
      <c r="AG56" s="60"/>
      <c r="AH56" s="60"/>
      <c r="AI56" s="60"/>
      <c r="AJ56" s="60"/>
    </row>
    <row r="57" ht="30" customHeight="1">
      <c r="A57" t="s" s="59">
        <v>161</v>
      </c>
      <c r="B57" t="s" s="57">
        <v>134</v>
      </c>
      <c r="C57" t="s" s="57">
        <v>145</v>
      </c>
      <c r="D57" t="s" s="57">
        <v>48</v>
      </c>
      <c r="E57" s="60"/>
      <c r="F57" s="60"/>
      <c r="G57" s="60"/>
      <c r="H57" s="60"/>
      <c r="I57" s="60"/>
      <c r="J57" s="60"/>
      <c r="K57" s="60"/>
      <c r="L57" s="60"/>
      <c r="M57" s="60"/>
      <c r="N57" s="60"/>
      <c r="O57" s="59"/>
      <c r="P57" s="60"/>
      <c r="Q57" s="60"/>
      <c r="R57" s="60"/>
      <c r="S57" s="60"/>
      <c r="T57" s="60"/>
      <c r="U57" s="60"/>
      <c r="V57" s="60"/>
      <c r="W57" s="60"/>
      <c r="X57" s="60"/>
      <c r="Y57" s="60"/>
      <c r="Z57" s="60"/>
      <c r="AA57" s="60"/>
      <c r="AB57" s="60"/>
      <c r="AC57" s="60"/>
      <c r="AD57" s="60"/>
      <c r="AE57" s="60"/>
      <c r="AF57" s="60"/>
      <c r="AG57" s="60"/>
      <c r="AH57" s="60"/>
      <c r="AI57" s="60"/>
      <c r="AJ57" s="60"/>
    </row>
    <row r="58" ht="30" customHeight="1">
      <c r="A58" t="s" s="59">
        <v>162</v>
      </c>
      <c r="B58" t="s" s="57">
        <v>134</v>
      </c>
      <c r="C58" t="s" s="57">
        <v>147</v>
      </c>
      <c r="D58" t="s" s="57">
        <v>48</v>
      </c>
      <c r="E58" s="60"/>
      <c r="F58" s="60"/>
      <c r="G58" s="60"/>
      <c r="H58" s="60"/>
      <c r="I58" s="60"/>
      <c r="J58" s="60"/>
      <c r="K58" s="60"/>
      <c r="L58" s="60"/>
      <c r="M58" s="60"/>
      <c r="N58" s="60"/>
      <c r="O58" s="59"/>
      <c r="P58" s="60"/>
      <c r="Q58" s="60"/>
      <c r="R58" s="60"/>
      <c r="S58" s="60"/>
      <c r="T58" s="60"/>
      <c r="U58" s="60"/>
      <c r="V58" s="60"/>
      <c r="W58" s="60"/>
      <c r="X58" s="60"/>
      <c r="Y58" s="60"/>
      <c r="Z58" s="60"/>
      <c r="AA58" s="60"/>
      <c r="AB58" s="60"/>
      <c r="AC58" s="60"/>
      <c r="AD58" s="60"/>
      <c r="AE58" s="60"/>
      <c r="AF58" s="60"/>
      <c r="AG58" s="60"/>
      <c r="AH58" s="60"/>
      <c r="AI58" s="60"/>
      <c r="AJ58" s="60"/>
    </row>
    <row r="59" ht="30" customHeight="1">
      <c r="A59" t="s" s="59">
        <v>163</v>
      </c>
      <c r="B59" t="s" s="59">
        <v>134</v>
      </c>
      <c r="C59" t="s" s="59">
        <v>149</v>
      </c>
      <c r="D59" t="s" s="57">
        <v>48</v>
      </c>
      <c r="E59" s="60"/>
      <c r="F59" s="60"/>
      <c r="G59" s="60"/>
      <c r="H59" s="60"/>
      <c r="I59" s="60"/>
      <c r="J59" s="60"/>
      <c r="K59" s="60"/>
      <c r="L59" s="60"/>
      <c r="M59" s="60"/>
      <c r="N59" s="60"/>
      <c r="O59" s="59"/>
      <c r="P59" s="60"/>
      <c r="Q59" s="60"/>
      <c r="R59" s="60"/>
      <c r="S59" s="60"/>
      <c r="T59" s="60"/>
      <c r="U59" s="60"/>
      <c r="V59" s="60"/>
      <c r="W59" s="60"/>
      <c r="X59" s="60"/>
      <c r="Y59" s="60"/>
      <c r="Z59" s="60"/>
      <c r="AA59" s="60"/>
      <c r="AB59" s="60"/>
      <c r="AC59" s="60"/>
      <c r="AD59" s="60"/>
      <c r="AE59" s="60"/>
      <c r="AF59" s="60"/>
      <c r="AG59" s="60"/>
      <c r="AH59" s="60"/>
      <c r="AI59" s="60"/>
      <c r="AJ59" s="60"/>
    </row>
    <row r="60" ht="30" customHeight="1">
      <c r="A60" t="s" s="59">
        <v>164</v>
      </c>
      <c r="B60" t="s" s="59">
        <v>134</v>
      </c>
      <c r="C60" t="s" s="59">
        <v>151</v>
      </c>
      <c r="D60" t="s" s="57">
        <v>48</v>
      </c>
      <c r="E60" s="60"/>
      <c r="F60" s="60"/>
      <c r="G60" s="60"/>
      <c r="H60" s="60"/>
      <c r="I60" s="60"/>
      <c r="J60" s="60"/>
      <c r="K60" s="60"/>
      <c r="L60" s="60"/>
      <c r="M60" s="60"/>
      <c r="N60" s="60"/>
      <c r="O60" s="59"/>
      <c r="P60" s="60"/>
      <c r="Q60" s="60"/>
      <c r="R60" s="60"/>
      <c r="S60" s="60"/>
      <c r="T60" s="60"/>
      <c r="U60" s="60"/>
      <c r="V60" s="60"/>
      <c r="W60" s="60"/>
      <c r="X60" s="60"/>
      <c r="Y60" s="60"/>
      <c r="Z60" s="60"/>
      <c r="AA60" s="60"/>
      <c r="AB60" s="60"/>
      <c r="AC60" s="60"/>
      <c r="AD60" s="60"/>
      <c r="AE60" s="60"/>
      <c r="AF60" s="60"/>
      <c r="AG60" s="60"/>
      <c r="AH60" s="60"/>
      <c r="AI60" s="60"/>
      <c r="AJ60" s="60"/>
    </row>
    <row r="61" ht="30" customHeight="1">
      <c r="A61" t="s" s="59">
        <v>165</v>
      </c>
      <c r="B61" t="s" s="57">
        <v>134</v>
      </c>
      <c r="C61" t="s" s="57">
        <v>153</v>
      </c>
      <c r="D61" t="s" s="57">
        <v>48</v>
      </c>
      <c r="E61" s="60"/>
      <c r="F61" s="60"/>
      <c r="G61" s="60"/>
      <c r="H61" s="60"/>
      <c r="I61" s="60"/>
      <c r="J61" s="60"/>
      <c r="K61" s="60"/>
      <c r="L61" s="60"/>
      <c r="M61" s="60"/>
      <c r="N61" s="60"/>
      <c r="O61" s="59"/>
      <c r="P61" s="60"/>
      <c r="Q61" s="60"/>
      <c r="R61" s="60"/>
      <c r="S61" s="60"/>
      <c r="T61" s="60"/>
      <c r="U61" s="60"/>
      <c r="V61" s="60"/>
      <c r="W61" s="60"/>
      <c r="X61" s="60"/>
      <c r="Y61" s="60"/>
      <c r="Z61" s="60"/>
      <c r="AA61" s="60"/>
      <c r="AB61" s="60"/>
      <c r="AC61" s="60"/>
      <c r="AD61" s="60"/>
      <c r="AE61" s="60"/>
      <c r="AF61" s="60"/>
      <c r="AG61" s="60"/>
      <c r="AH61" s="60"/>
      <c r="AI61" s="60"/>
      <c r="AJ61" s="60"/>
    </row>
    <row r="62" ht="30" customHeight="1">
      <c r="A62" t="s" s="59">
        <v>166</v>
      </c>
      <c r="B62" t="s" s="59">
        <v>134</v>
      </c>
      <c r="C62" t="s" s="59">
        <v>155</v>
      </c>
      <c r="D62" t="s" s="57">
        <v>48</v>
      </c>
      <c r="E62" s="60"/>
      <c r="F62" s="60"/>
      <c r="G62" s="60"/>
      <c r="H62" s="60"/>
      <c r="I62" s="60"/>
      <c r="J62" s="60"/>
      <c r="K62" s="60"/>
      <c r="L62" s="60"/>
      <c r="M62" s="60"/>
      <c r="N62" s="60"/>
      <c r="O62" s="59"/>
      <c r="P62" s="60"/>
      <c r="Q62" s="60"/>
      <c r="R62" s="60"/>
      <c r="S62" s="60"/>
      <c r="T62" s="60"/>
      <c r="U62" s="60"/>
      <c r="V62" s="60"/>
      <c r="W62" s="60"/>
      <c r="X62" s="60"/>
      <c r="Y62" s="60"/>
      <c r="Z62" s="60"/>
      <c r="AA62" s="60"/>
      <c r="AB62" s="60"/>
      <c r="AC62" s="60"/>
      <c r="AD62" s="60"/>
      <c r="AE62" s="60"/>
      <c r="AF62" s="60"/>
      <c r="AG62" s="60"/>
      <c r="AH62" s="60"/>
      <c r="AI62" s="60"/>
      <c r="AJ62" s="60"/>
    </row>
    <row r="63" ht="30" customHeight="1">
      <c r="A63" t="s" s="59">
        <v>156</v>
      </c>
      <c r="B63" t="s" s="57">
        <v>134</v>
      </c>
      <c r="C63" t="s" s="57">
        <v>135</v>
      </c>
      <c r="D63" t="s" s="57">
        <v>51</v>
      </c>
      <c r="E63" s="60"/>
      <c r="F63" s="60"/>
      <c r="G63" s="60"/>
      <c r="H63" s="60"/>
      <c r="I63" s="60"/>
      <c r="J63" s="60"/>
      <c r="K63" s="60"/>
      <c r="L63" s="60"/>
      <c r="M63" s="60"/>
      <c r="N63" s="60"/>
      <c r="O63" s="59"/>
      <c r="P63" s="60"/>
      <c r="Q63" s="60"/>
      <c r="R63" s="60"/>
      <c r="S63" s="60"/>
      <c r="T63" s="60"/>
      <c r="U63" s="60"/>
      <c r="V63" s="60"/>
      <c r="W63" s="60"/>
      <c r="X63" s="60"/>
      <c r="Y63" s="60"/>
      <c r="Z63" s="60"/>
      <c r="AA63" s="60"/>
      <c r="AB63" s="60"/>
      <c r="AC63" s="60"/>
      <c r="AD63" s="60"/>
      <c r="AE63" s="60"/>
      <c r="AF63" s="60"/>
      <c r="AG63" s="60"/>
      <c r="AH63" s="60"/>
      <c r="AI63" s="60"/>
      <c r="AJ63" s="60"/>
    </row>
    <row r="64" ht="30" customHeight="1">
      <c r="A64" t="s" s="59">
        <v>157</v>
      </c>
      <c r="B64" t="s" s="57">
        <v>134</v>
      </c>
      <c r="C64" t="s" s="57">
        <v>137</v>
      </c>
      <c r="D64" t="s" s="57">
        <v>51</v>
      </c>
      <c r="E64" s="60"/>
      <c r="F64" s="60"/>
      <c r="G64" s="60"/>
      <c r="H64" s="60"/>
      <c r="I64" s="60"/>
      <c r="J64" s="60"/>
      <c r="K64" s="60"/>
      <c r="L64" s="60"/>
      <c r="M64" s="60"/>
      <c r="N64" s="60"/>
      <c r="O64" s="59"/>
      <c r="P64" s="60"/>
      <c r="Q64" s="60"/>
      <c r="R64" s="60"/>
      <c r="S64" s="60"/>
      <c r="T64" s="60"/>
      <c r="U64" s="60"/>
      <c r="V64" s="60"/>
      <c r="W64" s="60"/>
      <c r="X64" s="60"/>
      <c r="Y64" s="60"/>
      <c r="Z64" s="60"/>
      <c r="AA64" s="60"/>
      <c r="AB64" s="60"/>
      <c r="AC64" s="60"/>
      <c r="AD64" s="60"/>
      <c r="AE64" s="60"/>
      <c r="AF64" s="60"/>
      <c r="AG64" s="60"/>
      <c r="AH64" s="60"/>
      <c r="AI64" s="60"/>
      <c r="AJ64" s="60"/>
    </row>
    <row r="65" ht="30" customHeight="1">
      <c r="A65" t="s" s="59">
        <v>158</v>
      </c>
      <c r="B65" t="s" s="57">
        <v>134</v>
      </c>
      <c r="C65" t="s" s="57">
        <v>139</v>
      </c>
      <c r="D65" t="s" s="57">
        <v>51</v>
      </c>
      <c r="E65" s="60"/>
      <c r="F65" s="60"/>
      <c r="G65" s="60"/>
      <c r="H65" s="60"/>
      <c r="I65" s="60"/>
      <c r="J65" s="60"/>
      <c r="K65" s="60"/>
      <c r="L65" s="60"/>
      <c r="M65" s="60"/>
      <c r="N65" s="60"/>
      <c r="O65" s="59"/>
      <c r="P65" s="60"/>
      <c r="Q65" s="60"/>
      <c r="R65" s="60"/>
      <c r="S65" s="60"/>
      <c r="T65" s="60"/>
      <c r="U65" s="60"/>
      <c r="V65" s="60"/>
      <c r="W65" s="60"/>
      <c r="X65" s="60"/>
      <c r="Y65" s="60"/>
      <c r="Z65" s="60"/>
      <c r="AA65" s="60"/>
      <c r="AB65" s="60"/>
      <c r="AC65" s="60"/>
      <c r="AD65" s="60"/>
      <c r="AE65" s="60"/>
      <c r="AF65" s="60"/>
      <c r="AG65" s="60"/>
      <c r="AH65" s="60"/>
      <c r="AI65" s="60"/>
      <c r="AJ65" s="60"/>
    </row>
    <row r="66" ht="30" customHeight="1">
      <c r="A66" t="s" s="59">
        <v>159</v>
      </c>
      <c r="B66" t="s" s="57">
        <v>134</v>
      </c>
      <c r="C66" t="s" s="57">
        <v>141</v>
      </c>
      <c r="D66" t="s" s="57">
        <v>51</v>
      </c>
      <c r="E66" s="60"/>
      <c r="F66" s="60"/>
      <c r="G66" s="60"/>
      <c r="H66" s="60"/>
      <c r="I66" s="60"/>
      <c r="J66" s="60"/>
      <c r="K66" s="60"/>
      <c r="L66" s="60"/>
      <c r="M66" s="60"/>
      <c r="N66" s="60"/>
      <c r="O66" s="59"/>
      <c r="P66" s="60"/>
      <c r="Q66" s="60"/>
      <c r="R66" s="60"/>
      <c r="S66" s="60"/>
      <c r="T66" s="60"/>
      <c r="U66" s="60"/>
      <c r="V66" s="60"/>
      <c r="W66" s="60"/>
      <c r="X66" s="60"/>
      <c r="Y66" s="60"/>
      <c r="Z66" s="60"/>
      <c r="AA66" s="60"/>
      <c r="AB66" s="60"/>
      <c r="AC66" s="60"/>
      <c r="AD66" s="60"/>
      <c r="AE66" s="60"/>
      <c r="AF66" s="60"/>
      <c r="AG66" s="60"/>
      <c r="AH66" s="60"/>
      <c r="AI66" s="60"/>
      <c r="AJ66" s="60"/>
    </row>
    <row r="67" ht="30" customHeight="1">
      <c r="A67" t="s" s="59">
        <v>160</v>
      </c>
      <c r="B67" t="s" s="57">
        <v>134</v>
      </c>
      <c r="C67" t="s" s="57">
        <v>143</v>
      </c>
      <c r="D67" t="s" s="57">
        <v>51</v>
      </c>
      <c r="E67" s="60"/>
      <c r="F67" s="60"/>
      <c r="G67" s="60"/>
      <c r="H67" s="60"/>
      <c r="I67" s="60"/>
      <c r="J67" s="60"/>
      <c r="K67" s="60"/>
      <c r="L67" s="60"/>
      <c r="M67" s="60"/>
      <c r="N67" s="60"/>
      <c r="O67" s="59"/>
      <c r="P67" s="60"/>
      <c r="Q67" s="60"/>
      <c r="R67" s="60"/>
      <c r="S67" s="60"/>
      <c r="T67" s="60"/>
      <c r="U67" s="60"/>
      <c r="V67" s="60"/>
      <c r="W67" s="60"/>
      <c r="X67" s="60"/>
      <c r="Y67" s="60"/>
      <c r="Z67" s="60"/>
      <c r="AA67" s="60"/>
      <c r="AB67" s="60"/>
      <c r="AC67" s="60"/>
      <c r="AD67" s="60"/>
      <c r="AE67" s="60"/>
      <c r="AF67" s="60"/>
      <c r="AG67" s="60"/>
      <c r="AH67" s="60"/>
      <c r="AI67" s="60"/>
      <c r="AJ67" s="60"/>
    </row>
    <row r="68" ht="30" customHeight="1">
      <c r="A68" t="s" s="59">
        <v>161</v>
      </c>
      <c r="B68" t="s" s="57">
        <v>134</v>
      </c>
      <c r="C68" t="s" s="57">
        <v>145</v>
      </c>
      <c r="D68" t="s" s="57">
        <v>51</v>
      </c>
      <c r="E68" s="60"/>
      <c r="F68" s="60"/>
      <c r="G68" s="60"/>
      <c r="H68" s="60"/>
      <c r="I68" s="60"/>
      <c r="J68" s="60"/>
      <c r="K68" s="60"/>
      <c r="L68" s="60"/>
      <c r="M68" s="60"/>
      <c r="N68" s="60"/>
      <c r="O68" s="59"/>
      <c r="P68" s="60"/>
      <c r="Q68" s="60"/>
      <c r="R68" s="60"/>
      <c r="S68" s="60"/>
      <c r="T68" s="60"/>
      <c r="U68" s="60"/>
      <c r="V68" s="60"/>
      <c r="W68" s="60"/>
      <c r="X68" s="60"/>
      <c r="Y68" s="60"/>
      <c r="Z68" s="60"/>
      <c r="AA68" s="60"/>
      <c r="AB68" s="60"/>
      <c r="AC68" s="60"/>
      <c r="AD68" s="60"/>
      <c r="AE68" s="60"/>
      <c r="AF68" s="60"/>
      <c r="AG68" s="60"/>
      <c r="AH68" s="60"/>
      <c r="AI68" s="60"/>
      <c r="AJ68" s="60"/>
    </row>
    <row r="69" ht="30" customHeight="1">
      <c r="A69" t="s" s="59">
        <v>162</v>
      </c>
      <c r="B69" t="s" s="57">
        <v>134</v>
      </c>
      <c r="C69" t="s" s="57">
        <v>147</v>
      </c>
      <c r="D69" t="s" s="57">
        <v>51</v>
      </c>
      <c r="E69" s="60"/>
      <c r="F69" s="60"/>
      <c r="G69" s="60"/>
      <c r="H69" s="60"/>
      <c r="I69" s="60"/>
      <c r="J69" s="60"/>
      <c r="K69" s="60"/>
      <c r="L69" s="60"/>
      <c r="M69" s="60"/>
      <c r="N69" s="60"/>
      <c r="O69" s="59"/>
      <c r="P69" s="60"/>
      <c r="Q69" s="60"/>
      <c r="R69" s="60"/>
      <c r="S69" s="60"/>
      <c r="T69" s="60"/>
      <c r="U69" s="60"/>
      <c r="V69" s="60"/>
      <c r="W69" s="60"/>
      <c r="X69" s="60"/>
      <c r="Y69" s="60"/>
      <c r="Z69" s="60"/>
      <c r="AA69" s="60"/>
      <c r="AB69" s="60"/>
      <c r="AC69" s="60"/>
      <c r="AD69" s="60"/>
      <c r="AE69" s="60"/>
      <c r="AF69" s="60"/>
      <c r="AG69" s="60"/>
      <c r="AH69" s="60"/>
      <c r="AI69" s="60"/>
      <c r="AJ69" s="60"/>
    </row>
    <row r="70" ht="30" customHeight="1">
      <c r="A70" t="s" s="59">
        <v>163</v>
      </c>
      <c r="B70" t="s" s="59">
        <v>134</v>
      </c>
      <c r="C70" t="s" s="59">
        <v>149</v>
      </c>
      <c r="D70" t="s" s="57">
        <v>51</v>
      </c>
      <c r="E70" s="60"/>
      <c r="F70" s="60"/>
      <c r="G70" s="60"/>
      <c r="H70" s="60"/>
      <c r="I70" s="60"/>
      <c r="J70" s="60"/>
      <c r="K70" s="60"/>
      <c r="L70" s="60"/>
      <c r="M70" s="60"/>
      <c r="N70" s="60"/>
      <c r="O70" s="59"/>
      <c r="P70" s="60"/>
      <c r="Q70" s="60"/>
      <c r="R70" s="60"/>
      <c r="S70" s="60"/>
      <c r="T70" s="60"/>
      <c r="U70" s="60"/>
      <c r="V70" s="60"/>
      <c r="W70" s="60"/>
      <c r="X70" s="60"/>
      <c r="Y70" s="60"/>
      <c r="Z70" s="60"/>
      <c r="AA70" s="60"/>
      <c r="AB70" s="60"/>
      <c r="AC70" s="60"/>
      <c r="AD70" s="60"/>
      <c r="AE70" s="60"/>
      <c r="AF70" s="60"/>
      <c r="AG70" s="60"/>
      <c r="AH70" s="60"/>
      <c r="AI70" s="60"/>
      <c r="AJ70" s="60"/>
    </row>
    <row r="71" ht="30" customHeight="1">
      <c r="A71" t="s" s="59">
        <v>164</v>
      </c>
      <c r="B71" t="s" s="59">
        <v>134</v>
      </c>
      <c r="C71" t="s" s="59">
        <v>151</v>
      </c>
      <c r="D71" t="s" s="57">
        <v>51</v>
      </c>
      <c r="E71" s="60"/>
      <c r="F71" s="60"/>
      <c r="G71" s="60"/>
      <c r="H71" s="60"/>
      <c r="I71" s="60"/>
      <c r="J71" s="60"/>
      <c r="K71" s="60"/>
      <c r="L71" s="60"/>
      <c r="M71" s="60"/>
      <c r="N71" s="60"/>
      <c r="O71" s="59"/>
      <c r="P71" s="60"/>
      <c r="Q71" s="60"/>
      <c r="R71" s="60"/>
      <c r="S71" s="60"/>
      <c r="T71" s="60"/>
      <c r="U71" s="60"/>
      <c r="V71" s="60"/>
      <c r="W71" s="60"/>
      <c r="X71" s="60"/>
      <c r="Y71" s="60"/>
      <c r="Z71" s="60"/>
      <c r="AA71" s="60"/>
      <c r="AB71" s="60"/>
      <c r="AC71" s="60"/>
      <c r="AD71" s="60"/>
      <c r="AE71" s="60"/>
      <c r="AF71" s="60"/>
      <c r="AG71" s="60"/>
      <c r="AH71" s="60"/>
      <c r="AI71" s="60"/>
      <c r="AJ71" s="60"/>
    </row>
    <row r="72" ht="30" customHeight="1">
      <c r="A72" t="s" s="59">
        <v>165</v>
      </c>
      <c r="B72" t="s" s="57">
        <v>134</v>
      </c>
      <c r="C72" t="s" s="57">
        <v>153</v>
      </c>
      <c r="D72" t="s" s="57">
        <v>51</v>
      </c>
      <c r="E72" s="60"/>
      <c r="F72" s="60"/>
      <c r="G72" s="60"/>
      <c r="H72" s="60"/>
      <c r="I72" s="60"/>
      <c r="J72" s="60"/>
      <c r="K72" s="60"/>
      <c r="L72" s="60"/>
      <c r="M72" s="60"/>
      <c r="N72" s="60"/>
      <c r="O72" s="59"/>
      <c r="P72" s="60"/>
      <c r="Q72" s="60"/>
      <c r="R72" s="60"/>
      <c r="S72" s="60"/>
      <c r="T72" s="60"/>
      <c r="U72" s="60"/>
      <c r="V72" s="60"/>
      <c r="W72" s="60"/>
      <c r="X72" s="60"/>
      <c r="Y72" s="60"/>
      <c r="Z72" s="60"/>
      <c r="AA72" s="60"/>
      <c r="AB72" s="60"/>
      <c r="AC72" s="60"/>
      <c r="AD72" s="60"/>
      <c r="AE72" s="60"/>
      <c r="AF72" s="60"/>
      <c r="AG72" s="60"/>
      <c r="AH72" s="60"/>
      <c r="AI72" s="60"/>
      <c r="AJ72" s="60"/>
    </row>
    <row r="73" ht="30" customHeight="1">
      <c r="A73" t="s" s="59">
        <v>166</v>
      </c>
      <c r="B73" t="s" s="59">
        <v>134</v>
      </c>
      <c r="C73" t="s" s="59">
        <v>155</v>
      </c>
      <c r="D73" t="s" s="57">
        <v>51</v>
      </c>
      <c r="E73" s="60"/>
      <c r="F73" s="60"/>
      <c r="G73" s="60"/>
      <c r="H73" s="60"/>
      <c r="I73" s="60"/>
      <c r="J73" s="60"/>
      <c r="K73" s="60"/>
      <c r="L73" s="60"/>
      <c r="M73" s="60"/>
      <c r="N73" s="60"/>
      <c r="O73" s="59"/>
      <c r="P73" s="60"/>
      <c r="Q73" s="60"/>
      <c r="R73" s="60"/>
      <c r="S73" s="60"/>
      <c r="T73" s="60"/>
      <c r="U73" s="60"/>
      <c r="V73" s="60"/>
      <c r="W73" s="60"/>
      <c r="X73" s="60"/>
      <c r="Y73" s="60"/>
      <c r="Z73" s="60"/>
      <c r="AA73" s="60"/>
      <c r="AB73" s="60"/>
      <c r="AC73" s="60"/>
      <c r="AD73" s="60"/>
      <c r="AE73" s="60"/>
      <c r="AF73" s="60"/>
      <c r="AG73" s="60"/>
      <c r="AH73" s="60"/>
      <c r="AI73" s="60"/>
      <c r="AJ73" s="60"/>
    </row>
    <row r="74" ht="30" customHeight="1">
      <c r="A74" s="59"/>
      <c r="B74" s="59"/>
      <c r="C74" s="59"/>
      <c r="D74" s="59"/>
      <c r="E74" s="60"/>
      <c r="F74" s="60"/>
      <c r="G74" s="60"/>
      <c r="H74" s="60"/>
      <c r="I74" s="60"/>
      <c r="J74" s="60"/>
      <c r="K74" s="60"/>
      <c r="L74" s="60"/>
      <c r="M74" s="60"/>
      <c r="N74" s="60"/>
      <c r="O74" s="59"/>
      <c r="P74" s="60"/>
      <c r="Q74" s="60"/>
      <c r="R74" s="60"/>
      <c r="S74" s="60"/>
      <c r="T74" s="60"/>
      <c r="U74" s="60"/>
      <c r="V74" s="60"/>
      <c r="W74" s="60"/>
      <c r="X74" s="60"/>
      <c r="Y74" s="60"/>
      <c r="Z74" s="60"/>
      <c r="AA74" s="60"/>
      <c r="AB74" s="60"/>
      <c r="AC74" s="60"/>
      <c r="AD74" s="60"/>
      <c r="AE74" s="60"/>
      <c r="AF74" s="60"/>
      <c r="AG74" s="60"/>
      <c r="AH74" s="60"/>
      <c r="AI74" s="60"/>
      <c r="AJ74" s="60"/>
    </row>
    <row r="75" ht="25.45" customHeight="1">
      <c r="A75" t="s" s="57">
        <v>167</v>
      </c>
      <c r="B75" t="s" s="57">
        <v>168</v>
      </c>
      <c r="C75" t="s" s="57">
        <v>169</v>
      </c>
      <c r="D75" t="s" s="57">
        <v>170</v>
      </c>
      <c r="E75" s="58"/>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row>
    <row r="76" ht="25.55" customHeight="1">
      <c r="A76" t="s" s="57">
        <v>171</v>
      </c>
      <c r="B76" t="s" s="57">
        <v>168</v>
      </c>
      <c r="C76" t="s" s="57">
        <v>169</v>
      </c>
      <c r="D76" t="s" s="57">
        <v>170</v>
      </c>
      <c r="E76" s="58"/>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row>
    <row r="77" ht="30" customHeight="1">
      <c r="A77" t="s" s="57">
        <v>172</v>
      </c>
      <c r="B77" t="s" s="57">
        <v>168</v>
      </c>
      <c r="C77" t="s" s="57">
        <v>173</v>
      </c>
      <c r="D77" t="s" s="57">
        <v>170</v>
      </c>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row>
    <row r="78" ht="30" customHeight="1">
      <c r="A78" t="s" s="57">
        <v>174</v>
      </c>
      <c r="B78" t="s" s="57">
        <v>168</v>
      </c>
      <c r="C78" t="s" s="57">
        <v>175</v>
      </c>
      <c r="D78" t="s" s="57">
        <v>170</v>
      </c>
      <c r="E78" s="58"/>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row>
    <row r="79" ht="30" customHeight="1">
      <c r="A79" t="s" s="57">
        <v>176</v>
      </c>
      <c r="B79" t="s" s="57">
        <v>168</v>
      </c>
      <c r="C79" t="s" s="57">
        <v>177</v>
      </c>
      <c r="D79" t="s" s="57">
        <v>170</v>
      </c>
      <c r="E79" s="58"/>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row>
    <row r="80" ht="30" customHeight="1">
      <c r="A80" t="s" s="57">
        <v>178</v>
      </c>
      <c r="B80" t="s" s="57">
        <v>168</v>
      </c>
      <c r="C80" t="s" s="57">
        <v>179</v>
      </c>
      <c r="D80" t="s" s="57">
        <v>170</v>
      </c>
      <c r="E80" s="58"/>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row>
    <row r="81" ht="30" customHeight="1">
      <c r="A81" t="s" s="57">
        <v>180</v>
      </c>
      <c r="B81" t="s" s="57">
        <v>168</v>
      </c>
      <c r="C81" t="s" s="57">
        <v>181</v>
      </c>
      <c r="D81" t="s" s="57">
        <v>170</v>
      </c>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row>
    <row r="82" ht="30" customHeight="1">
      <c r="A82" t="s" s="57">
        <v>182</v>
      </c>
      <c r="B82" t="s" s="57">
        <v>168</v>
      </c>
      <c r="C82" t="s" s="57">
        <v>183</v>
      </c>
      <c r="D82" t="s" s="57">
        <v>170</v>
      </c>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row>
    <row r="83" ht="30" customHeight="1">
      <c r="A83" t="s" s="57">
        <v>184</v>
      </c>
      <c r="B83" t="s" s="57">
        <v>168</v>
      </c>
      <c r="C83" t="s" s="57">
        <v>185</v>
      </c>
      <c r="D83" t="s" s="57">
        <v>170</v>
      </c>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row>
    <row r="84" ht="30" customHeight="1">
      <c r="A84" t="s" s="59">
        <v>186</v>
      </c>
      <c r="B84" t="s" s="59">
        <v>168</v>
      </c>
      <c r="C84" t="s" s="59">
        <v>187</v>
      </c>
      <c r="D84" t="s" s="59">
        <v>170</v>
      </c>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row>
    <row r="85" ht="30" customHeight="1">
      <c r="A85" t="s" s="59">
        <v>188</v>
      </c>
      <c r="B85" t="s" s="59">
        <v>168</v>
      </c>
      <c r="C85" t="s" s="59">
        <v>189</v>
      </c>
      <c r="D85" t="s" s="59">
        <v>170</v>
      </c>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c r="AI85" s="60"/>
      <c r="AJ85" s="60"/>
    </row>
    <row r="86" ht="30" customHeight="1">
      <c r="A86" t="s" s="57">
        <v>190</v>
      </c>
      <c r="B86" t="s" s="57">
        <v>168</v>
      </c>
      <c r="C86" t="s" s="57">
        <v>191</v>
      </c>
      <c r="D86" t="s" s="57">
        <v>170</v>
      </c>
      <c r="E86" s="58"/>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row>
    <row r="87" ht="30" customHeight="1">
      <c r="A87" t="s" s="59">
        <v>192</v>
      </c>
      <c r="B87" t="s" s="59">
        <v>168</v>
      </c>
      <c r="C87" t="s" s="59">
        <v>193</v>
      </c>
      <c r="D87" t="s" s="59">
        <v>170</v>
      </c>
      <c r="E87" s="60"/>
      <c r="F87" s="60"/>
      <c r="G87" s="60"/>
      <c r="H87" s="60"/>
      <c r="I87" s="60"/>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row>
  </sheetData>
  <mergeCells count="5">
    <mergeCell ref="A1:R1"/>
    <mergeCell ref="B4:F4"/>
    <mergeCell ref="B2:F2"/>
    <mergeCell ref="B3:F3"/>
    <mergeCell ref="B5:F5"/>
  </mergeCells>
  <dataValidations count="1">
    <dataValidation type="list" allowBlank="1" showInputMessage="1" showErrorMessage="1" sqref="D8:D25 D27:D35 D37:D39 D41:D73 D75:D87">
      <formula1>"People’s Bank,Visa,Mastercard,Other Bank,Cardless,JCB,NA"</formula1>
    </dataValidation>
  </dataValidations>
  <pageMargins left="0.75" right="0.75" top="1" bottom="1" header="0.5" footer="0.5"/>
  <pageSetup firstPageNumber="1" fitToHeight="1" fitToWidth="1" scale="100" useFirstPageNumber="0" orientation="landscape"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H25"/>
  <sheetViews>
    <sheetView workbookViewId="0" showGridLines="0" defaultGridColor="1"/>
  </sheetViews>
  <sheetFormatPr defaultColWidth="8.83333" defaultRowHeight="15" customHeight="1" outlineLevelRow="0" outlineLevelCol="0"/>
  <cols>
    <col min="1" max="1" width="28" style="61" customWidth="1"/>
    <col min="2" max="5" width="15" style="61" customWidth="1"/>
    <col min="6" max="6" width="18" style="61" customWidth="1"/>
    <col min="7" max="8" width="8.85156" style="61" customWidth="1"/>
    <col min="9" max="16384" width="8.85156" style="61" customWidth="1"/>
  </cols>
  <sheetData>
    <row r="1" ht="27.95" customHeight="1">
      <c r="A1" t="s" s="42">
        <v>194</v>
      </c>
      <c r="B1" s="43"/>
      <c r="C1" s="29"/>
      <c r="D1" s="29"/>
      <c r="E1" s="29"/>
      <c r="F1" s="29"/>
      <c r="G1" s="29"/>
      <c r="H1" s="29"/>
    </row>
    <row r="2" ht="13.55" customHeight="1">
      <c r="A2" s="44"/>
      <c r="B2" s="28"/>
      <c r="C2" s="29"/>
      <c r="D2" s="29"/>
      <c r="E2" s="29"/>
      <c r="F2" s="29"/>
      <c r="G2" s="29"/>
      <c r="H2" s="29"/>
    </row>
    <row r="3" ht="13.55" customHeight="1">
      <c r="A3" t="s" s="30">
        <v>15</v>
      </c>
      <c r="B3" t="str" s="62" cm="1">
        <f t="array" ref="B3">'Summary'!B2</f>
        <v>Hitachi CRM – Pre-Prod</v>
      </c>
      <c r="C3" s="35"/>
      <c r="D3" s="29"/>
      <c r="E3" s="29"/>
      <c r="F3" s="29"/>
      <c r="G3" s="29"/>
      <c r="H3" s="29"/>
    </row>
    <row r="4" ht="13.55" customHeight="1">
      <c r="A4" t="s" s="30">
        <v>19</v>
      </c>
      <c r="B4" t="str" s="62" cm="1">
        <f t="array" ref="B4">'Summary'!B3</f>
        <v>24/09/2026</v>
      </c>
      <c r="C4" s="35"/>
      <c r="D4" s="29"/>
      <c r="E4" s="29"/>
      <c r="F4" s="29"/>
      <c r="G4" s="29"/>
      <c r="H4" s="29"/>
    </row>
    <row r="5" ht="13.55" customHeight="1">
      <c r="A5" t="s" s="30">
        <v>21</v>
      </c>
      <c r="B5" t="str" s="62" cm="1">
        <f t="array" ref="B5">'Summary'!B4</f>
        <v>Team Channel</v>
      </c>
      <c r="C5" s="35"/>
      <c r="D5" s="29"/>
      <c r="E5" s="29"/>
      <c r="F5" s="29"/>
      <c r="G5" s="29"/>
      <c r="H5" s="29"/>
    </row>
    <row r="6" ht="13.55" customHeight="1">
      <c r="A6" t="s" s="30">
        <v>195</v>
      </c>
      <c r="B6" s="46" cm="1">
        <f t="array" ref="B6">COUNTA('Summary'!A8:A87)</f>
        <v>76</v>
      </c>
      <c r="C6" s="35"/>
      <c r="D6" s="29"/>
      <c r="E6" s="29"/>
      <c r="F6" s="29"/>
      <c r="G6" s="29"/>
      <c r="H6" s="29"/>
    </row>
    <row r="7" ht="13.55" customHeight="1">
      <c r="A7" t="s" s="30">
        <v>75</v>
      </c>
      <c r="B7" s="46" cm="1">
        <f t="array" ref="B7">COUNTIF('Summary'!O8:O87,"PASS")</f>
        <v>0</v>
      </c>
      <c r="C7" s="35"/>
      <c r="D7" s="29"/>
      <c r="E7" s="29"/>
      <c r="F7" s="29"/>
      <c r="G7" s="29"/>
      <c r="H7" s="29"/>
    </row>
    <row r="8" ht="13.55" customHeight="1">
      <c r="A8" t="s" s="30">
        <v>76</v>
      </c>
      <c r="B8" s="46" cm="1">
        <f t="array" ref="B8">COUNTIF('Summary'!O8:O87,"FAIL")</f>
        <v>0</v>
      </c>
      <c r="C8" s="35"/>
      <c r="D8" s="29"/>
      <c r="E8" s="29"/>
      <c r="F8" s="29"/>
      <c r="G8" s="29"/>
      <c r="H8" s="29"/>
    </row>
    <row r="9" ht="13.55" customHeight="1">
      <c r="A9" t="s" s="30">
        <v>77</v>
      </c>
      <c r="B9" s="46" cm="1">
        <f t="array" ref="B9">COUNTIF('Summary'!O8:O87,"BLOCKED")</f>
        <v>0</v>
      </c>
      <c r="C9" s="35"/>
      <c r="D9" s="29"/>
      <c r="E9" s="29"/>
      <c r="F9" s="29"/>
      <c r="G9" s="29"/>
      <c r="H9" s="29"/>
    </row>
    <row r="10" ht="13.55" customHeight="1">
      <c r="A10" t="s" s="30">
        <v>78</v>
      </c>
      <c r="B10" s="46" cm="1">
        <f t="array" ref="B10">COUNTIF('Summary'!O8:O87,"NOT EXECUTED")</f>
        <v>0</v>
      </c>
      <c r="C10" s="35"/>
      <c r="D10" s="29"/>
      <c r="E10" s="29"/>
      <c r="F10" s="29"/>
      <c r="G10" s="29"/>
      <c r="H10" s="29"/>
    </row>
    <row r="11" ht="13.55" customHeight="1">
      <c r="A11" t="s" s="30">
        <v>196</v>
      </c>
      <c r="B11" s="46" cm="1">
        <f t="array" ref="B11">COUNTIF('Summary'!O8:O87,"PENDING")</f>
        <v>0</v>
      </c>
      <c r="C11" s="35"/>
      <c r="D11" s="29"/>
      <c r="E11" s="29"/>
      <c r="F11" s="29"/>
      <c r="G11" s="29"/>
      <c r="H11" s="29"/>
    </row>
    <row r="12" ht="13.55" customHeight="1">
      <c r="A12" t="s" s="30">
        <v>197</v>
      </c>
      <c r="B12" s="48" cm="1">
        <f t="array" ref="B12">IF(B4=0,0,(B5+B6+B7+B8)/B4)</f>
      </c>
      <c r="C12" s="35"/>
      <c r="D12" s="29"/>
      <c r="E12" s="29"/>
      <c r="F12" s="29"/>
      <c r="G12" s="29"/>
      <c r="H12" s="29"/>
    </row>
    <row r="13" ht="13.55" customHeight="1">
      <c r="A13" t="s" s="30">
        <v>198</v>
      </c>
      <c r="B13" s="48" cm="1">
        <f t="array" ref="B13">IF((B5+B6)=0,0,B5/(B5+B6))</f>
      </c>
      <c r="C13" s="35"/>
      <c r="D13" s="29"/>
      <c r="E13" s="29"/>
      <c r="F13" s="29"/>
      <c r="G13" s="29"/>
      <c r="H13" s="29"/>
    </row>
    <row r="14" ht="13.55" customHeight="1">
      <c r="A14" s="47"/>
      <c r="B14" s="47"/>
      <c r="C14" s="29"/>
      <c r="D14" s="29"/>
      <c r="E14" s="29"/>
      <c r="F14" s="29"/>
      <c r="G14" s="29"/>
      <c r="H14" s="29"/>
    </row>
    <row r="15" ht="13.55" customHeight="1">
      <c r="A15" s="63"/>
      <c r="B15" s="29"/>
      <c r="C15" s="29"/>
      <c r="D15" s="29"/>
      <c r="E15" s="29"/>
      <c r="F15" s="29"/>
      <c r="G15" s="29"/>
      <c r="H15" s="29"/>
    </row>
    <row r="16" ht="13.55" customHeight="1">
      <c r="A16" t="s" s="64">
        <v>199</v>
      </c>
      <c r="B16" s="27"/>
      <c r="C16" s="28"/>
      <c r="D16" s="28"/>
      <c r="E16" s="28"/>
      <c r="F16" s="28"/>
      <c r="G16" s="29"/>
      <c r="H16" s="29"/>
    </row>
    <row r="17" ht="13.55" customHeight="1">
      <c r="A17" t="s" s="45">
        <v>200</v>
      </c>
      <c r="B17" t="s" s="45">
        <v>74</v>
      </c>
      <c r="C17" t="s" s="45">
        <v>75</v>
      </c>
      <c r="D17" t="s" s="45">
        <v>76</v>
      </c>
      <c r="E17" t="s" s="45">
        <v>77</v>
      </c>
      <c r="F17" t="s" s="45">
        <v>78</v>
      </c>
      <c r="G17" s="35"/>
      <c r="H17" s="29"/>
    </row>
    <row r="18" ht="13.55" customHeight="1">
      <c r="A18" t="s" s="31">
        <v>201</v>
      </c>
      <c r="B18" s="46" cm="1">
        <f t="array" ref="B18">COUNTIF('Summary'!B8:B87,A18)</f>
        <v>0</v>
      </c>
      <c r="C18" s="46" cm="1">
        <f t="array" ref="C18">_xlfn.COUNTIFS('Summary'!B8:B87,A18,'Summary'!O8:O87,"PASS")</f>
        <v>0</v>
      </c>
      <c r="D18" s="46" cm="1">
        <f t="array" ref="D18">_xlfn.COUNTIFS('Summary'!B8:B87,A18,'Summary'!O8:O87,"FAIL")</f>
        <v>0</v>
      </c>
      <c r="E18" s="46" cm="1">
        <f t="array" ref="E18">_xlfn.COUNTIFS('Summary'!B8:B87,A18,'Summary'!O8:O87,"BLOCKED")</f>
        <v>0</v>
      </c>
      <c r="F18" s="46" cm="1">
        <f t="array" ref="F18">_xlfn.COUNTIFS('Summary'!B8:B87,A18,'Summary'!O8:O87,"NOT EXECUTED")</f>
        <v>0</v>
      </c>
      <c r="G18" s="35"/>
      <c r="H18" s="29"/>
    </row>
    <row r="19" ht="13.55" customHeight="1">
      <c r="A19" t="s" s="31">
        <v>91</v>
      </c>
      <c r="B19" s="46" cm="1">
        <f t="array" ref="B19">COUNTIF('Summary'!B8:B87,A19)</f>
        <v>6</v>
      </c>
      <c r="C19" s="46" cm="1">
        <f t="array" ref="C19">_xlfn.COUNTIFS('Summary'!B8:B87,A19,'Summary'!O8:O87,"PASS")</f>
        <v>0</v>
      </c>
      <c r="D19" s="46" cm="1">
        <f t="array" ref="D19">_xlfn.COUNTIFS('Summary'!B8:B87,A19,'Summary'!O8:O87,"FAIL")</f>
        <v>0</v>
      </c>
      <c r="E19" s="46" cm="1">
        <f t="array" ref="E19">_xlfn.COUNTIFS('Summary'!B8:B87,A19,'Summary'!O8:O87,"BLOCKED")</f>
        <v>0</v>
      </c>
      <c r="F19" s="46" cm="1">
        <f t="array" ref="F19">_xlfn.COUNTIFS('Summary'!B8:B87,A19,'Summary'!O8:O87,"NOT EXECUTED")</f>
        <v>0</v>
      </c>
      <c r="G19" s="35"/>
      <c r="H19" s="29"/>
    </row>
    <row r="20" ht="13.55" customHeight="1">
      <c r="A20" t="s" s="31">
        <v>100</v>
      </c>
      <c r="B20" s="46" cm="1">
        <f t="array" ref="B20">COUNTIF('Summary'!B8:B87,A20)</f>
        <v>6</v>
      </c>
      <c r="C20" s="46" cm="1">
        <f t="array" ref="C20">_xlfn.COUNTIFS('Summary'!B8:B87,A20,'Summary'!O8:O87,"PASS")</f>
        <v>0</v>
      </c>
      <c r="D20" s="46" cm="1">
        <f t="array" ref="D20">_xlfn.COUNTIFS('Summary'!B8:B87,A20,'Summary'!O8:O87,"FAIL")</f>
        <v>0</v>
      </c>
      <c r="E20" s="46" cm="1">
        <f t="array" ref="E20">_xlfn.COUNTIFS('Summary'!B8:B87,A20,'Summary'!O8:O87,"BLOCKED")</f>
        <v>0</v>
      </c>
      <c r="F20" s="46" cm="1">
        <f t="array" ref="F20">_xlfn.COUNTIFS('Summary'!B8:B87,A20,'Summary'!O8:O87,"NOT EXECUTED")</f>
        <v>0</v>
      </c>
      <c r="G20" s="35"/>
      <c r="H20" s="29"/>
    </row>
    <row r="21" ht="13.55" customHeight="1">
      <c r="A21" t="s" s="31">
        <v>109</v>
      </c>
      <c r="B21" s="46" cm="1">
        <f t="array" ref="B21">COUNTIF('Summary'!B8:B87,A21)</f>
        <v>6</v>
      </c>
      <c r="C21" s="46" cm="1">
        <f t="array" ref="C21">_xlfn.COUNTIFS('Summary'!B8:B87,A21,'Summary'!O8:O87,"PASS")</f>
        <v>0</v>
      </c>
      <c r="D21" s="46" cm="1">
        <f t="array" ref="D21">_xlfn.COUNTIFS('Summary'!B8:B87,A21,'Summary'!O8:O87,"FAIL")</f>
        <v>0</v>
      </c>
      <c r="E21" s="46" cm="1">
        <f t="array" ref="E21">_xlfn.COUNTIFS('Summary'!B8:B87,A21,'Summary'!O8:O87,"BLOCKED")</f>
        <v>0</v>
      </c>
      <c r="F21" s="46" cm="1">
        <f t="array" ref="F21">_xlfn.COUNTIFS('Summary'!B8:B87,A21,'Summary'!O8:O87,"NOT EXECUTED")</f>
        <v>0</v>
      </c>
      <c r="G21" s="35"/>
      <c r="H21" s="29"/>
    </row>
    <row r="22" ht="13.55" customHeight="1">
      <c r="A22" t="s" s="31">
        <v>117</v>
      </c>
      <c r="B22" s="46" cm="1">
        <f t="array" ref="B22">COUNTIF('Summary'!B8:B87,A22)</f>
        <v>9</v>
      </c>
      <c r="C22" s="46" cm="1">
        <f t="array" ref="C22">_xlfn.COUNTIFS('Summary'!B8:B87,A22,'Summary'!O8:O87,"PASS")</f>
        <v>0</v>
      </c>
      <c r="D22" s="46" cm="1">
        <f t="array" ref="D22">_xlfn.COUNTIFS('Summary'!B8:B87,A22,'Summary'!O8:O87,"FAIL")</f>
        <v>0</v>
      </c>
      <c r="E22" s="46" cm="1">
        <f t="array" ref="E22">_xlfn.COUNTIFS('Summary'!B8:B87,A22,'Summary'!O8:O87,"BLOCKED")</f>
        <v>0</v>
      </c>
      <c r="F22" s="46" cm="1">
        <f t="array" ref="F22">_xlfn.COUNTIFS('Summary'!B8:B87,A22,'Summary'!O8:O87,"NOT EXECUTED")</f>
        <v>0</v>
      </c>
      <c r="G22" s="35"/>
      <c r="H22" s="29"/>
    </row>
    <row r="23" ht="13.55" customHeight="1">
      <c r="A23" t="s" s="31">
        <v>130</v>
      </c>
      <c r="B23" s="46" cm="1">
        <f t="array" ref="B23">COUNTIF('Summary'!B8:B87,A23)</f>
        <v>3</v>
      </c>
      <c r="C23" s="46" cm="1">
        <f t="array" ref="C23">_xlfn.COUNTIFS('Summary'!B8:B87,A23,'Summary'!O8:O87,"PASS")</f>
        <v>0</v>
      </c>
      <c r="D23" s="46" cm="1">
        <f t="array" ref="D23">_xlfn.COUNTIFS('Summary'!B8:B87,A23,'Summary'!O8:O87,"FAIL")</f>
        <v>0</v>
      </c>
      <c r="E23" s="46" cm="1">
        <f t="array" ref="E23">_xlfn.COUNTIFS('Summary'!B8:B87,A23,'Summary'!O8:O87,"BLOCKED")</f>
        <v>0</v>
      </c>
      <c r="F23" s="46" cm="1">
        <f t="array" ref="F23">_xlfn.COUNTIFS('Summary'!B8:B87,A23,'Summary'!O8:O87,"NOT EXECUTED")</f>
        <v>0</v>
      </c>
      <c r="G23" s="35"/>
      <c r="H23" s="29"/>
    </row>
    <row r="24" ht="13.55" customHeight="1">
      <c r="A24" t="s" s="31">
        <v>134</v>
      </c>
      <c r="B24" s="46" cm="1">
        <f t="array" ref="B24">COUNTIF('Summary'!B8:B87,A24)</f>
        <v>33</v>
      </c>
      <c r="C24" s="46" cm="1">
        <f t="array" ref="C24">_xlfn.COUNTIFS('Summary'!B8:B87,A24,'Summary'!O8:O87,"PASS")</f>
        <v>0</v>
      </c>
      <c r="D24" s="46" cm="1">
        <f t="array" ref="D24">_xlfn.COUNTIFS('Summary'!B8:B87,A24,'Summary'!O8:O87,"FAIL")</f>
        <v>0</v>
      </c>
      <c r="E24" s="46" cm="1">
        <f t="array" ref="E24">_xlfn.COUNTIFS('Summary'!B8:B87,A24,'Summary'!O8:O87,"BLOCKED")</f>
        <v>0</v>
      </c>
      <c r="F24" s="46" cm="1">
        <f t="array" ref="F24">_xlfn.COUNTIFS('Summary'!B8:B87,A24,'Summary'!O8:O87,"NOT EXECUTED")</f>
        <v>0</v>
      </c>
      <c r="G24" s="35"/>
      <c r="H24" s="29"/>
    </row>
    <row r="25" ht="13.55" customHeight="1">
      <c r="A25" t="s" s="31">
        <v>168</v>
      </c>
      <c r="B25" s="46" cm="1">
        <f t="array" ref="B25">COUNTIF('Summary'!B8:B87,A25)</f>
        <v>13</v>
      </c>
      <c r="C25" s="46" cm="1">
        <f t="array" ref="C25">_xlfn.COUNTIFS('Summary'!B8:B87,A25,'Summary'!O8:O87,"PASS")</f>
        <v>0</v>
      </c>
      <c r="D25" s="46" cm="1">
        <f t="array" ref="D25">_xlfn.COUNTIFS('Summary'!B8:B87,A25,'Summary'!O8:O87,"FAIL")</f>
        <v>0</v>
      </c>
      <c r="E25" s="46" cm="1">
        <f t="array" ref="E25">_xlfn.COUNTIFS('Summary'!B8:B87,A25,'Summary'!O8:O87,"BLOCKED")</f>
        <v>0</v>
      </c>
      <c r="F25" s="46" cm="1">
        <f t="array" ref="F25">_xlfn.COUNTIFS('Summary'!B8:B87,A25,'Summary'!O8:O87,"NOT EXECUTED")</f>
        <v>0</v>
      </c>
      <c r="G25" s="35"/>
      <c r="H25" s="29"/>
    </row>
  </sheetData>
  <mergeCells count="2">
    <mergeCell ref="A16:F16"/>
    <mergeCell ref="A1:H1"/>
  </mergeCells>
  <pageMargins left="0.75" right="0.75" top="1" bottom="1" header="0.5" footer="0.5"/>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